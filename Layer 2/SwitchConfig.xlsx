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working\Layer 1\"/>
    </mc:Choice>
  </mc:AlternateContent>
  <xr:revisionPtr revIDLastSave="0" documentId="8_{914B5140-296E-4C19-AAC6-507C6D8F1A40}" xr6:coauthVersionLast="47" xr6:coauthVersionMax="47" xr10:uidLastSave="{00000000-0000-0000-0000-000000000000}"/>
  <bookViews>
    <workbookView xWindow="-28920" yWindow="5295" windowWidth="29040" windowHeight="15720" activeTab="5" xr2:uid="{DF8E5548-C6DF-4C3E-8F9F-8D848447448E}"/>
  </bookViews>
  <sheets>
    <sheet name="Devices" sheetId="1" r:id="rId1"/>
    <sheet name="ToR - 1" sheetId="2" r:id="rId2"/>
    <sheet name="ToR - 2" sheetId="4" r:id="rId3"/>
    <sheet name="BE - 1" sheetId="5" r:id="rId4"/>
    <sheet name="BE - 2" sheetId="6" r:id="rId5"/>
    <sheet name="Mgmt" sheetId="7" r:id="rId6"/>
    <sheet name="Database" sheetId="3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E4" i="1"/>
  <c r="E3" i="1"/>
</calcChain>
</file>

<file path=xl/sharedStrings.xml><?xml version="1.0" encoding="utf-8"?>
<sst xmlns="http://schemas.openxmlformats.org/spreadsheetml/2006/main" count="211" uniqueCount="60">
  <si>
    <t>ID</t>
  </si>
  <si>
    <t>Manufacturer</t>
  </si>
  <si>
    <t>Make</t>
  </si>
  <si>
    <t>Model</t>
  </si>
  <si>
    <t>Management</t>
  </si>
  <si>
    <t>Routing</t>
  </si>
  <si>
    <t>VRRP</t>
  </si>
  <si>
    <t>Mode</t>
  </si>
  <si>
    <t>Priority</t>
  </si>
  <si>
    <t>STP</t>
  </si>
  <si>
    <t>Cisco</t>
  </si>
  <si>
    <t>Catalyst</t>
  </si>
  <si>
    <t>2960X-2410G</t>
  </si>
  <si>
    <t>Yes</t>
  </si>
  <si>
    <t>Port</t>
  </si>
  <si>
    <t>Connector</t>
  </si>
  <si>
    <t>Connectors</t>
  </si>
  <si>
    <t>DAC-Q28-100G</t>
  </si>
  <si>
    <t>SFP28-25G-SR</t>
  </si>
  <si>
    <t>SFP-10G-SX</t>
  </si>
  <si>
    <t>SFP-1G-SX</t>
  </si>
  <si>
    <t>RJ45</t>
  </si>
  <si>
    <t>Hosts</t>
  </si>
  <si>
    <t>Ports</t>
  </si>
  <si>
    <t>mgmt-1</t>
  </si>
  <si>
    <t>mgmt-2</t>
  </si>
  <si>
    <t>Tagged-1</t>
  </si>
  <si>
    <t>Tagged-2</t>
  </si>
  <si>
    <t>Storage-1</t>
  </si>
  <si>
    <t>Storage-2</t>
  </si>
  <si>
    <t>OOBM</t>
  </si>
  <si>
    <t>Domain Controller - 10.47.6.10</t>
  </si>
  <si>
    <t>DHCP - 10.47.6.20</t>
  </si>
  <si>
    <t>Backup DC - 10.47.6.50</t>
  </si>
  <si>
    <t>Oracle DB - 10.47.9.10</t>
  </si>
  <si>
    <t>UPS Monitor - 10.47.4.10</t>
  </si>
  <si>
    <t>Untagged</t>
  </si>
  <si>
    <t>VLAN</t>
  </si>
  <si>
    <t>VLAN2 - Hosts</t>
  </si>
  <si>
    <t>VLAN3 - Staff Radio</t>
  </si>
  <si>
    <t>VLAN4 - Power Infrastructure</t>
  </si>
  <si>
    <t>VLAN5 - Technical Clients</t>
  </si>
  <si>
    <t>VLAN12 - Server OOBM</t>
  </si>
  <si>
    <t>VLAN6 - Infrastructure Servers</t>
  </si>
  <si>
    <t>VLAN7 - Telephony</t>
  </si>
  <si>
    <t>VLAN8 - HVAC Infrastructure</t>
  </si>
  <si>
    <t>VLAN9 - Storage</t>
  </si>
  <si>
    <t>VLAN10 - NetMan</t>
  </si>
  <si>
    <t>VLAN11 - Security Cameras</t>
  </si>
  <si>
    <t>Tagged</t>
  </si>
  <si>
    <t>STP Type</t>
  </si>
  <si>
    <t>Edge</t>
  </si>
  <si>
    <t>Trunk</t>
  </si>
  <si>
    <t>Enabled</t>
  </si>
  <si>
    <t>No</t>
  </si>
  <si>
    <t>ToR-A</t>
  </si>
  <si>
    <t>ToR-B</t>
  </si>
  <si>
    <t>Call Monitor - 10.47.7.10</t>
  </si>
  <si>
    <t>CCTV Server - 10.47.11.10</t>
  </si>
  <si>
    <t>File Server - 10.47.9.20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</si>
</sst>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" fillId="0" borderId="0" xfId="0" applyFont="1"/>
    <xf numFmtId="0" fontId="1" fillId="0" borderId="0" xfId="0" applyFont="1" applyAlignment="1">
      <alignment horizontal="center" textRotation="90"/>
    </xf>
  </cellXfs>
  <cellStyles count="1">
    <cellStyle name="Normal" xfId="0" builtinId="0"/>
  </cellStyles>
  <dxfs count="106"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8" tint="-0.24994659260841701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8" tint="-0.24994659260841701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8" tint="-0.24994659260841701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8" tint="-0.24994659260841701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8" tint="-0.24994659260841701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8" tint="-0.24994659260841701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8" tint="-0.24994659260841701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theme="0"/>
      </font>
      <fill>
        <patternFill patternType="solid"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58F4-1AAA-4120-933C-DBF44F893B53}">
  <dimension ref="A1:J4"/>
  <sheetViews>
    <sheetView workbookViewId="0">
      <pane ySplit="2" topLeftCell="A3" activePane="bottomLeft" state="frozen"/>
      <selection pane="bottomLeft" activeCell="F10" sqref="F10"/>
    </sheetView>
  </sheetViews>
  <sheetFormatPr defaultRowHeight="15" x14ac:dyDescent="0.25"/>
  <cols>
    <col min="1" max="1" width="3" bestFit="1" customWidth="1"/>
    <col min="2" max="2" width="12.85546875" bestFit="1" customWidth="1"/>
    <col min="3" max="3" width="8" bestFit="1" customWidth="1"/>
    <col min="4" max="4" width="12.140625" bestFit="1" customWidth="1"/>
    <col min="5" max="5" width="12.42578125" style="1" bestFit="1" customWidth="1"/>
    <col min="6" max="6" width="7.7109375" bestFit="1" customWidth="1"/>
    <col min="7" max="7" width="7.7109375" customWidth="1"/>
    <col min="8" max="8" width="5.5703125" bestFit="1" customWidth="1"/>
    <col min="9" max="9" width="5.85546875" bestFit="1" customWidth="1"/>
    <col min="10" max="10" width="7.28515625" bestFit="1" customWidth="1"/>
  </cols>
  <sheetData>
    <row r="1" spans="1:10" x14ac:dyDescent="0.25">
      <c r="I1" s="2" t="s">
        <v>9</v>
      </c>
      <c r="J1" s="2"/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2" t="s">
        <v>5</v>
      </c>
      <c r="G2" s="2"/>
      <c r="H2" t="s">
        <v>6</v>
      </c>
      <c r="I2" t="s">
        <v>7</v>
      </c>
      <c r="J2" t="s">
        <v>8</v>
      </c>
    </row>
    <row r="3" spans="1:10" x14ac:dyDescent="0.25">
      <c r="A3">
        <v>21</v>
      </c>
      <c r="B3" t="s">
        <v>10</v>
      </c>
      <c r="C3" t="s">
        <v>11</v>
      </c>
      <c r="D3" t="s">
        <v>12</v>
      </c>
      <c r="E3" s="1" t="str">
        <f>"10.47.10." &amp; A3</f>
        <v>10.47.10.21</v>
      </c>
      <c r="F3" t="s">
        <v>13</v>
      </c>
      <c r="G3">
        <f>A3</f>
        <v>21</v>
      </c>
    </row>
    <row r="4" spans="1:10" x14ac:dyDescent="0.25">
      <c r="A4">
        <v>22</v>
      </c>
      <c r="B4" t="s">
        <v>10</v>
      </c>
      <c r="C4" t="s">
        <v>11</v>
      </c>
      <c r="D4" t="s">
        <v>12</v>
      </c>
      <c r="E4" s="1" t="str">
        <f>"10.47.10." &amp; A4</f>
        <v>10.47.10.22</v>
      </c>
      <c r="F4" t="s">
        <v>13</v>
      </c>
      <c r="G4">
        <f>A4</f>
        <v>22</v>
      </c>
    </row>
  </sheetData>
  <mergeCells count="2">
    <mergeCell ref="I1:J1"/>
    <mergeCell ref="F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3E0C-6711-4B41-B69C-A40AE8F53CE9}">
  <dimension ref="A1:H27"/>
  <sheetViews>
    <sheetView workbookViewId="0">
      <selection activeCell="E32" sqref="E32"/>
    </sheetView>
  </sheetViews>
  <sheetFormatPr defaultRowHeight="15" x14ac:dyDescent="0.25"/>
  <cols>
    <col min="1" max="1" width="9.140625" style="1"/>
    <col min="2" max="2" width="13.85546875" style="1" bestFit="1" customWidth="1"/>
    <col min="3" max="3" width="28" style="1" bestFit="1" customWidth="1"/>
    <col min="4" max="4" width="9.140625" style="1"/>
    <col min="5" max="5" width="27.42578125" style="1" bestFit="1" customWidth="1"/>
    <col min="6" max="8" width="9.140625" style="1"/>
  </cols>
  <sheetData>
    <row r="1" spans="1:8" s="3" customFormat="1" ht="55.5" x14ac:dyDescent="0.25">
      <c r="A1" s="5" t="s">
        <v>14</v>
      </c>
      <c r="B1" s="5" t="s">
        <v>15</v>
      </c>
      <c r="C1" s="5" t="s">
        <v>22</v>
      </c>
      <c r="D1" s="5" t="s">
        <v>23</v>
      </c>
      <c r="E1" s="5" t="s">
        <v>36</v>
      </c>
      <c r="F1" s="5" t="s">
        <v>49</v>
      </c>
      <c r="G1" s="5" t="s">
        <v>50</v>
      </c>
      <c r="H1" s="5" t="s">
        <v>53</v>
      </c>
    </row>
    <row r="2" spans="1:8" x14ac:dyDescent="0.25">
      <c r="A2" s="1">
        <v>1</v>
      </c>
      <c r="B2" s="1" t="s">
        <v>18</v>
      </c>
      <c r="C2" s="1" t="s">
        <v>31</v>
      </c>
      <c r="D2" s="1" t="s">
        <v>26</v>
      </c>
      <c r="E2" s="1" t="s">
        <v>43</v>
      </c>
      <c r="G2" s="1" t="s">
        <v>51</v>
      </c>
      <c r="H2" s="1" t="s">
        <v>13</v>
      </c>
    </row>
    <row r="3" spans="1:8" x14ac:dyDescent="0.25">
      <c r="A3" s="1">
        <v>2</v>
      </c>
      <c r="B3" s="1" t="s">
        <v>18</v>
      </c>
      <c r="C3" s="1" t="s">
        <v>32</v>
      </c>
      <c r="D3" s="1" t="s">
        <v>26</v>
      </c>
      <c r="E3" s="1" t="s">
        <v>43</v>
      </c>
      <c r="G3" s="1" t="s">
        <v>51</v>
      </c>
      <c r="H3" s="1" t="s">
        <v>13</v>
      </c>
    </row>
    <row r="4" spans="1:8" x14ac:dyDescent="0.25">
      <c r="A4" s="1">
        <v>3</v>
      </c>
      <c r="B4" s="1" t="s">
        <v>18</v>
      </c>
      <c r="C4" s="1" t="s">
        <v>33</v>
      </c>
      <c r="D4" s="1" t="s">
        <v>27</v>
      </c>
      <c r="E4" s="1" t="s">
        <v>43</v>
      </c>
      <c r="G4" s="1" t="s">
        <v>51</v>
      </c>
      <c r="H4" s="1" t="s">
        <v>13</v>
      </c>
    </row>
    <row r="5" spans="1:8" x14ac:dyDescent="0.25">
      <c r="A5" s="1">
        <v>4</v>
      </c>
      <c r="B5" s="1" t="s">
        <v>18</v>
      </c>
      <c r="C5" s="1" t="s">
        <v>58</v>
      </c>
      <c r="D5" s="1" t="s">
        <v>26</v>
      </c>
      <c r="E5" s="1" t="s">
        <v>48</v>
      </c>
      <c r="G5" s="1" t="s">
        <v>51</v>
      </c>
      <c r="H5" s="1" t="s">
        <v>13</v>
      </c>
    </row>
    <row r="6" spans="1:8" x14ac:dyDescent="0.25">
      <c r="A6" s="1">
        <v>5</v>
      </c>
      <c r="B6" s="1" t="s">
        <v>18</v>
      </c>
      <c r="C6" s="1" t="s">
        <v>57</v>
      </c>
      <c r="D6" s="1" t="s">
        <v>26</v>
      </c>
      <c r="E6" s="1" t="s">
        <v>44</v>
      </c>
      <c r="G6" s="1" t="s">
        <v>51</v>
      </c>
      <c r="H6" s="1" t="s">
        <v>13</v>
      </c>
    </row>
    <row r="7" spans="1:8" x14ac:dyDescent="0.25">
      <c r="A7" s="1">
        <v>6</v>
      </c>
    </row>
    <row r="8" spans="1:8" x14ac:dyDescent="0.25">
      <c r="A8" s="1">
        <v>7</v>
      </c>
    </row>
    <row r="9" spans="1:8" x14ac:dyDescent="0.25">
      <c r="A9" s="1">
        <v>8</v>
      </c>
    </row>
    <row r="10" spans="1:8" x14ac:dyDescent="0.25">
      <c r="A10" s="1">
        <v>9</v>
      </c>
    </row>
    <row r="11" spans="1:8" x14ac:dyDescent="0.25">
      <c r="A11" s="1">
        <v>10</v>
      </c>
    </row>
    <row r="12" spans="1:8" x14ac:dyDescent="0.25">
      <c r="A12" s="1">
        <v>11</v>
      </c>
    </row>
    <row r="13" spans="1:8" x14ac:dyDescent="0.25">
      <c r="A13" s="1">
        <v>12</v>
      </c>
    </row>
    <row r="14" spans="1:8" x14ac:dyDescent="0.25">
      <c r="A14" s="1">
        <v>13</v>
      </c>
    </row>
    <row r="15" spans="1:8" x14ac:dyDescent="0.25">
      <c r="A15" s="1">
        <v>14</v>
      </c>
    </row>
    <row r="16" spans="1:8" x14ac:dyDescent="0.25">
      <c r="A16" s="1">
        <v>15</v>
      </c>
    </row>
    <row r="17" spans="1:8" x14ac:dyDescent="0.25">
      <c r="A17" s="1">
        <v>16</v>
      </c>
    </row>
    <row r="18" spans="1:8" x14ac:dyDescent="0.25">
      <c r="A18" s="1">
        <v>17</v>
      </c>
    </row>
    <row r="19" spans="1:8" x14ac:dyDescent="0.25">
      <c r="A19" s="1">
        <v>18</v>
      </c>
    </row>
    <row r="20" spans="1:8" x14ac:dyDescent="0.25">
      <c r="A20" s="1">
        <v>19</v>
      </c>
    </row>
    <row r="21" spans="1:8" x14ac:dyDescent="0.25">
      <c r="A21" s="1">
        <v>20</v>
      </c>
    </row>
    <row r="22" spans="1:8" x14ac:dyDescent="0.25">
      <c r="A22" s="1">
        <v>21</v>
      </c>
    </row>
    <row r="23" spans="1:8" x14ac:dyDescent="0.25">
      <c r="A23" s="1">
        <v>22</v>
      </c>
    </row>
    <row r="24" spans="1:8" x14ac:dyDescent="0.25">
      <c r="A24" s="1">
        <v>23</v>
      </c>
    </row>
    <row r="25" spans="1:8" x14ac:dyDescent="0.25">
      <c r="A25" s="1">
        <v>24</v>
      </c>
    </row>
    <row r="27" spans="1:8" x14ac:dyDescent="0.25">
      <c r="A27" s="1">
        <v>25</v>
      </c>
      <c r="B27" s="1" t="s">
        <v>18</v>
      </c>
      <c r="C27" s="1" t="s">
        <v>56</v>
      </c>
      <c r="G27" s="1" t="s">
        <v>52</v>
      </c>
      <c r="H27" s="1" t="s">
        <v>13</v>
      </c>
    </row>
  </sheetData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71FA5C33-60EE-43DC-ACF6-9CF7C6973C33}">
            <xm:f>NOT(ISERROR(SEARCH(Database!$G$12,E2)))</xm:f>
            <xm:f>Database!$G$12</xm:f>
            <x14:dxf>
              <font>
                <color theme="0"/>
              </font>
              <fill>
                <patternFill patternType="solid">
                  <bgColor theme="8" tint="-0.24994659260841701"/>
                </patternFill>
              </fill>
            </x14:dxf>
          </x14:cfRule>
          <x14:cfRule type="containsText" priority="4" operator="containsText" id="{6E1E1455-AF8D-4CCE-8796-4D8776BE00EB}">
            <xm:f>NOT(ISERROR(SEARCH(Database!$G$11,E2)))</xm:f>
            <xm:f>Database!$G$11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5" operator="containsText" id="{84C39D69-2077-41B8-A46B-020DC0113F51}">
            <xm:f>NOT(ISERROR(SEARCH(Database!$G$10,E2)))</xm:f>
            <xm:f>Database!$G$10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6" operator="containsText" id="{90AF71AC-165C-436A-A7A9-5061EFA9B6F4}">
            <xm:f>NOT(ISERROR(SEARCH(Database!$G$9,E2)))</xm:f>
            <xm:f>Database!$G$9</xm:f>
            <x14:dxf>
              <font>
                <color theme="0"/>
              </font>
              <fill>
                <patternFill patternType="solid">
                  <bgColor theme="5"/>
                </patternFill>
              </fill>
            </x14:dxf>
          </x14:cfRule>
          <x14:cfRule type="containsText" priority="7" operator="containsText" id="{486C5C36-E3CF-4691-B9D4-AED992D5E595}">
            <xm:f>NOT(ISERROR(SEARCH(Database!$G$8,E2)))</xm:f>
            <xm:f>Database!$G$8</xm:f>
            <x14:dxf>
              <font>
                <color theme="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" operator="containsText" id="{4F857594-A82A-4594-8D5B-EF4D482CABE4}">
            <xm:f>NOT(ISERROR(SEARCH(Database!$G$7,E2)))</xm:f>
            <xm:f>Database!$G$7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containsText" priority="10" operator="containsText" id="{0E46904B-0A8D-4F81-9852-D25763DB746D}">
            <xm:f>NOT(ISERROR(SEARCH(Database!$G$6,E2)))</xm:f>
            <xm:f>Database!$G$6</xm:f>
            <x14:dxf>
              <font>
                <color theme="0"/>
              </font>
              <fill>
                <patternFill>
                  <bgColor theme="5" tint="-0.499984740745262"/>
                </patternFill>
              </fill>
            </x14:dxf>
          </x14:cfRule>
          <x14:cfRule type="containsText" priority="11" operator="containsText" id="{4BC93EBF-279F-4DD5-B209-07D005B2A41A}">
            <xm:f>NOT(ISERROR(SEARCH(Database!$G$5,E2)))</xm:f>
            <xm:f>Database!$G$5</xm:f>
            <x14:dxf>
              <font>
                <color theme="0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2" operator="containsText" id="{C9F7CD11-1FD4-487D-B2F6-6836C243BA74}">
            <xm:f>NOT(ISERROR(SEARCH(Database!$G$4,E2)))</xm:f>
            <xm:f>Database!$G$4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3" operator="containsText" id="{EF9CC55C-ECD3-46B9-B045-78AB2858D1C2}">
            <xm:f>NOT(ISERROR(SEARCH(Database!$G$3,E2)))</xm:f>
            <xm:f>Database!$G$3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14" operator="containsText" id="{1997DCF2-56A1-4358-AAD7-0D0354DB76F0}">
            <xm:f>NOT(ISERROR(SEARCH(Database!$G$2,E2)))</xm:f>
            <xm:f>Database!$G$2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m:sqref>E2:E25</xm:sqref>
        </x14:conditionalFormatting>
        <x14:conditionalFormatting xmlns:xm="http://schemas.microsoft.com/office/excel/2006/main">
          <x14:cfRule type="containsText" priority="1" operator="containsText" id="{6DA88EF8-4A6F-4F2C-B2F4-47AF0507616F}">
            <xm:f>NOT(ISERROR(SEARCH(Database!$K$3,H2)))</xm:f>
            <xm:f>Database!$K$3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6DAF76BB-A5EB-409D-B798-CB1E7D50C73B}">
            <xm:f>NOT(ISERROR(SEARCH(Database!$K$2,H2)))</xm:f>
            <xm:f>Database!$K$2</xm:f>
            <x14:dxf>
              <font>
                <b/>
                <i val="0"/>
                <color theme="1"/>
              </font>
              <fill>
                <patternFill>
                  <bgColor rgb="FF00B050"/>
                </patternFill>
              </fill>
            </x14:dxf>
          </x14:cfRule>
          <xm:sqref>H2:H29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8A2CEEB-E01A-4BC4-93CF-F7BEA9147CD0}">
          <x14:formula1>
            <xm:f>Database!$A$2:$A$6</xm:f>
          </x14:formula1>
          <xm:sqref>B27:B30 B2:B25</xm:sqref>
        </x14:dataValidation>
        <x14:dataValidation type="list" allowBlank="1" showInputMessage="1" showErrorMessage="1" xr:uid="{460D0093-5B4B-4F45-B16A-77227D379555}">
          <x14:formula1>
            <xm:f>Database!$C$2:$C$8</xm:f>
          </x14:formula1>
          <xm:sqref>D2:D25</xm:sqref>
        </x14:dataValidation>
        <x14:dataValidation type="list" allowBlank="1" showInputMessage="1" showErrorMessage="1" xr:uid="{04A01E3F-7E7A-4C89-839C-730B412B51E2}">
          <x14:formula1>
            <xm:f>Database!$G$2:$G$12</xm:f>
          </x14:formula1>
          <xm:sqref>E2:E25</xm:sqref>
        </x14:dataValidation>
        <x14:dataValidation type="list" allowBlank="1" showInputMessage="1" showErrorMessage="1" xr:uid="{307C7F19-C32E-41BC-8584-358EEE079CD1}">
          <x14:formula1>
            <xm:f>Database!$I$2:$I$3</xm:f>
          </x14:formula1>
          <xm:sqref>G2:G30</xm:sqref>
        </x14:dataValidation>
        <x14:dataValidation type="list" allowBlank="1" showInputMessage="1" showErrorMessage="1" xr:uid="{DA4DD85F-D5C0-45F5-855D-FABE2ADB47E8}">
          <x14:formula1>
            <xm:f>Database!$K$2:$K$3</xm:f>
          </x14:formula1>
          <xm:sqref>H2:H29</xm:sqref>
        </x14:dataValidation>
        <x14:dataValidation type="list" allowBlank="1" showInputMessage="1" showErrorMessage="1" xr:uid="{93D1C9DB-9561-4DCB-BA3B-ED2B1C552E8B}">
          <x14:formula1>
            <xm:f>Database!$E$2:$E$10</xm:f>
          </x14:formula1>
          <xm:sqref>C2:C30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0E1E-D71E-4736-896B-BC0A95925266}">
  <dimension ref="A1:H30"/>
  <sheetViews>
    <sheetView workbookViewId="0">
      <selection activeCell="C31" sqref="C31"/>
    </sheetView>
  </sheetViews>
  <sheetFormatPr defaultRowHeight="15" x14ac:dyDescent="0.25"/>
  <cols>
    <col min="2" max="2" width="13.85546875" bestFit="1" customWidth="1"/>
    <col min="3" max="3" width="28" bestFit="1" customWidth="1"/>
    <col min="4" max="4" width="9" bestFit="1" customWidth="1"/>
    <col min="5" max="5" width="27.42578125" bestFit="1" customWidth="1"/>
  </cols>
  <sheetData>
    <row r="1" spans="1:8" ht="55.5" x14ac:dyDescent="0.25">
      <c r="A1" s="5" t="s">
        <v>14</v>
      </c>
      <c r="B1" s="5" t="s">
        <v>15</v>
      </c>
      <c r="C1" s="5" t="s">
        <v>22</v>
      </c>
      <c r="D1" s="5" t="s">
        <v>23</v>
      </c>
      <c r="E1" s="5" t="s">
        <v>36</v>
      </c>
      <c r="F1" s="5" t="s">
        <v>49</v>
      </c>
      <c r="G1" s="5" t="s">
        <v>50</v>
      </c>
      <c r="H1" s="5" t="s">
        <v>53</v>
      </c>
    </row>
    <row r="2" spans="1:8" x14ac:dyDescent="0.25">
      <c r="A2" s="1">
        <v>1</v>
      </c>
      <c r="B2" s="1" t="s">
        <v>18</v>
      </c>
      <c r="C2" s="1" t="s">
        <v>31</v>
      </c>
      <c r="D2" s="1" t="s">
        <v>27</v>
      </c>
      <c r="E2" s="1" t="s">
        <v>43</v>
      </c>
      <c r="F2" s="1"/>
      <c r="G2" s="1" t="s">
        <v>51</v>
      </c>
      <c r="H2" s="1" t="s">
        <v>13</v>
      </c>
    </row>
    <row r="3" spans="1:8" x14ac:dyDescent="0.25">
      <c r="A3" s="1">
        <v>2</v>
      </c>
      <c r="B3" s="1" t="s">
        <v>18</v>
      </c>
      <c r="C3" s="1" t="s">
        <v>32</v>
      </c>
      <c r="D3" s="1" t="s">
        <v>27</v>
      </c>
      <c r="E3" s="1" t="s">
        <v>43</v>
      </c>
      <c r="F3" s="1"/>
      <c r="G3" s="1" t="s">
        <v>51</v>
      </c>
      <c r="H3" s="1" t="s">
        <v>13</v>
      </c>
    </row>
    <row r="4" spans="1:8" x14ac:dyDescent="0.25">
      <c r="A4" s="1">
        <v>3</v>
      </c>
      <c r="B4" s="1" t="s">
        <v>18</v>
      </c>
      <c r="C4" s="1" t="s">
        <v>33</v>
      </c>
      <c r="D4" s="1" t="s">
        <v>26</v>
      </c>
      <c r="E4" s="1" t="s">
        <v>43</v>
      </c>
      <c r="F4" s="1"/>
      <c r="G4" s="1" t="s">
        <v>51</v>
      </c>
      <c r="H4" s="1" t="s">
        <v>13</v>
      </c>
    </row>
    <row r="5" spans="1:8" x14ac:dyDescent="0.25">
      <c r="A5" s="1">
        <v>4</v>
      </c>
      <c r="B5" s="1" t="s">
        <v>18</v>
      </c>
      <c r="C5" s="1" t="s">
        <v>58</v>
      </c>
      <c r="D5" s="1" t="s">
        <v>27</v>
      </c>
      <c r="E5" s="1" t="s">
        <v>48</v>
      </c>
      <c r="F5" s="1"/>
      <c r="G5" s="1" t="s">
        <v>51</v>
      </c>
      <c r="H5" s="1" t="s">
        <v>13</v>
      </c>
    </row>
    <row r="6" spans="1:8" x14ac:dyDescent="0.25">
      <c r="A6" s="1">
        <v>5</v>
      </c>
      <c r="B6" s="1" t="s">
        <v>18</v>
      </c>
      <c r="C6" s="1" t="s">
        <v>57</v>
      </c>
      <c r="D6" s="1" t="s">
        <v>27</v>
      </c>
      <c r="E6" s="1" t="s">
        <v>44</v>
      </c>
      <c r="F6" s="1"/>
      <c r="G6" s="1" t="s">
        <v>51</v>
      </c>
      <c r="H6" s="1" t="s">
        <v>13</v>
      </c>
    </row>
    <row r="7" spans="1:8" x14ac:dyDescent="0.25">
      <c r="A7" s="1">
        <v>6</v>
      </c>
      <c r="B7" s="1"/>
      <c r="C7" s="1"/>
      <c r="D7" s="1"/>
      <c r="E7" s="1"/>
      <c r="F7" s="1"/>
      <c r="G7" s="1"/>
      <c r="H7" s="1"/>
    </row>
    <row r="8" spans="1:8" x14ac:dyDescent="0.25">
      <c r="A8" s="1">
        <v>7</v>
      </c>
      <c r="B8" s="1"/>
      <c r="C8" s="1"/>
      <c r="D8" s="1"/>
      <c r="E8" s="1"/>
      <c r="F8" s="1"/>
      <c r="G8" s="1"/>
      <c r="H8" s="1"/>
    </row>
    <row r="9" spans="1:8" x14ac:dyDescent="0.25">
      <c r="A9" s="1">
        <v>8</v>
      </c>
      <c r="B9" s="1"/>
      <c r="C9" s="1"/>
      <c r="D9" s="1"/>
      <c r="E9" s="1"/>
      <c r="F9" s="1"/>
      <c r="G9" s="1"/>
      <c r="H9" s="1"/>
    </row>
    <row r="10" spans="1:8" x14ac:dyDescent="0.25">
      <c r="A10" s="1">
        <v>9</v>
      </c>
      <c r="B10" s="1"/>
      <c r="C10" s="1"/>
      <c r="D10" s="1"/>
      <c r="E10" s="1"/>
      <c r="F10" s="1"/>
      <c r="G10" s="1"/>
      <c r="H10" s="1"/>
    </row>
    <row r="11" spans="1:8" x14ac:dyDescent="0.25">
      <c r="A11" s="1">
        <v>10</v>
      </c>
      <c r="B11" s="1"/>
      <c r="C11" s="1"/>
      <c r="D11" s="1"/>
      <c r="E11" s="1"/>
      <c r="F11" s="1"/>
      <c r="G11" s="1"/>
      <c r="H11" s="1"/>
    </row>
    <row r="12" spans="1:8" x14ac:dyDescent="0.25">
      <c r="A12" s="1">
        <v>11</v>
      </c>
      <c r="B12" s="1"/>
      <c r="C12" s="1"/>
      <c r="D12" s="1"/>
      <c r="E12" s="1"/>
      <c r="F12" s="1"/>
      <c r="G12" s="1"/>
      <c r="H12" s="1"/>
    </row>
    <row r="13" spans="1:8" x14ac:dyDescent="0.25">
      <c r="A13" s="1">
        <v>12</v>
      </c>
      <c r="B13" s="1"/>
      <c r="C13" s="1"/>
      <c r="D13" s="1"/>
      <c r="E13" s="1"/>
      <c r="F13" s="1"/>
      <c r="G13" s="1"/>
      <c r="H13" s="1"/>
    </row>
    <row r="14" spans="1:8" x14ac:dyDescent="0.25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5">
      <c r="A15" s="1">
        <v>14</v>
      </c>
      <c r="B15" s="1"/>
      <c r="C15" s="1"/>
      <c r="D15" s="1"/>
      <c r="E15" s="1"/>
      <c r="F15" s="1"/>
      <c r="G15" s="1"/>
      <c r="H15" s="1"/>
    </row>
    <row r="16" spans="1:8" x14ac:dyDescent="0.25">
      <c r="A16" s="1">
        <v>15</v>
      </c>
      <c r="B16" s="1"/>
      <c r="C16" s="1"/>
      <c r="D16" s="1"/>
      <c r="E16" s="1"/>
      <c r="F16" s="1"/>
      <c r="G16" s="1"/>
      <c r="H16" s="1"/>
    </row>
    <row r="17" spans="1:8" x14ac:dyDescent="0.25">
      <c r="A17" s="1">
        <v>16</v>
      </c>
      <c r="B17" s="1"/>
      <c r="C17" s="1"/>
      <c r="D17" s="1"/>
      <c r="E17" s="1"/>
      <c r="F17" s="1"/>
      <c r="G17" s="1"/>
      <c r="H17" s="1"/>
    </row>
    <row r="18" spans="1:8" x14ac:dyDescent="0.25">
      <c r="A18" s="1">
        <v>17</v>
      </c>
      <c r="B18" s="1"/>
      <c r="C18" s="1"/>
      <c r="D18" s="1"/>
      <c r="E18" s="1"/>
      <c r="F18" s="1"/>
      <c r="G18" s="1"/>
      <c r="H18" s="1"/>
    </row>
    <row r="19" spans="1:8" x14ac:dyDescent="0.25">
      <c r="A19" s="1">
        <v>18</v>
      </c>
      <c r="B19" s="1"/>
      <c r="C19" s="1"/>
      <c r="D19" s="1"/>
      <c r="E19" s="1"/>
      <c r="F19" s="1"/>
      <c r="G19" s="1"/>
      <c r="H19" s="1"/>
    </row>
    <row r="20" spans="1:8" x14ac:dyDescent="0.25">
      <c r="A20" s="1">
        <v>19</v>
      </c>
      <c r="B20" s="1"/>
      <c r="C20" s="1"/>
      <c r="D20" s="1"/>
      <c r="E20" s="1"/>
      <c r="F20" s="1"/>
      <c r="G20" s="1"/>
      <c r="H20" s="1"/>
    </row>
    <row r="21" spans="1:8" x14ac:dyDescent="0.25">
      <c r="A21" s="1">
        <v>20</v>
      </c>
      <c r="B21" s="1"/>
      <c r="C21" s="1"/>
      <c r="D21" s="1"/>
      <c r="E21" s="1"/>
      <c r="F21" s="1"/>
      <c r="G21" s="1"/>
      <c r="H21" s="1"/>
    </row>
    <row r="22" spans="1:8" x14ac:dyDescent="0.25">
      <c r="A22" s="1">
        <v>21</v>
      </c>
      <c r="B22" s="1"/>
      <c r="C22" s="1"/>
      <c r="D22" s="1"/>
      <c r="E22" s="1"/>
      <c r="F22" s="1"/>
      <c r="G22" s="1"/>
      <c r="H22" s="1"/>
    </row>
    <row r="23" spans="1:8" x14ac:dyDescent="0.25">
      <c r="A23" s="1">
        <v>22</v>
      </c>
      <c r="B23" s="1"/>
      <c r="C23" s="1"/>
      <c r="D23" s="1"/>
      <c r="E23" s="1"/>
      <c r="F23" s="1"/>
      <c r="G23" s="1"/>
      <c r="H23" s="1"/>
    </row>
    <row r="24" spans="1:8" x14ac:dyDescent="0.25">
      <c r="A24" s="1">
        <v>23</v>
      </c>
      <c r="B24" s="1"/>
      <c r="C24" s="1"/>
      <c r="D24" s="1"/>
      <c r="E24" s="1"/>
      <c r="F24" s="1"/>
      <c r="G24" s="1"/>
      <c r="H24" s="1"/>
    </row>
    <row r="25" spans="1:8" x14ac:dyDescent="0.25">
      <c r="A25" s="1">
        <v>24</v>
      </c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>
        <v>25</v>
      </c>
      <c r="B27" s="1" t="s">
        <v>17</v>
      </c>
      <c r="C27" s="1" t="s">
        <v>55</v>
      </c>
      <c r="D27" s="1" t="s">
        <v>26</v>
      </c>
      <c r="E27" s="1"/>
      <c r="F27" s="1"/>
      <c r="G27" s="1" t="s">
        <v>52</v>
      </c>
      <c r="H27" s="1" t="s">
        <v>13</v>
      </c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" operator="containsText" id="{F84F756F-7C81-49EF-8773-905AE702710E}">
            <xm:f>NOT(ISERROR(SEARCH(Database!$G$12,E7)))</xm:f>
            <xm:f>Database!$G$12</xm:f>
            <x14:dxf>
              <font>
                <color theme="0"/>
              </font>
              <fill>
                <patternFill patternType="solid">
                  <bgColor theme="8" tint="-0.24994659260841701"/>
                </patternFill>
              </fill>
            </x14:dxf>
          </x14:cfRule>
          <x14:cfRule type="containsText" priority="19" operator="containsText" id="{56FEB103-2F7A-4CEF-A72F-181DC992F81E}">
            <xm:f>NOT(ISERROR(SEARCH(Database!$G$11,E7)))</xm:f>
            <xm:f>Database!$G$11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20" operator="containsText" id="{B40DD344-F8D2-4261-B6E4-8519F9FA5413}">
            <xm:f>NOT(ISERROR(SEARCH(Database!$G$10,E7)))</xm:f>
            <xm:f>Database!$G$10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1" operator="containsText" id="{3B939CAA-72A0-4AA1-95EB-2ED66E5308BC}">
            <xm:f>NOT(ISERROR(SEARCH(Database!$G$9,E7)))</xm:f>
            <xm:f>Database!$G$9</xm:f>
            <x14:dxf>
              <font>
                <color theme="0"/>
              </font>
              <fill>
                <patternFill patternType="solid">
                  <bgColor theme="5"/>
                </patternFill>
              </fill>
            </x14:dxf>
          </x14:cfRule>
          <x14:cfRule type="containsText" priority="22" operator="containsText" id="{D8BD36F2-4399-4FE9-82C2-38BA6EB0B50E}">
            <xm:f>NOT(ISERROR(SEARCH(Database!$G$8,E7)))</xm:f>
            <xm:f>Database!$G$8</xm:f>
            <x14:dxf>
              <font>
                <color theme="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3" operator="containsText" id="{AF4011D3-CD0A-4E92-92A0-248B2D016FDA}">
            <xm:f>NOT(ISERROR(SEARCH(Database!$G$7,E7)))</xm:f>
            <xm:f>Database!$G$7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containsText" priority="24" operator="containsText" id="{F6116A60-5CBB-4577-9719-2C06F5346FBE}">
            <xm:f>NOT(ISERROR(SEARCH(Database!$G$6,E7)))</xm:f>
            <xm:f>Database!$G$6</xm:f>
            <x14:dxf>
              <font>
                <color theme="0"/>
              </font>
              <fill>
                <patternFill>
                  <bgColor theme="5" tint="-0.499984740745262"/>
                </patternFill>
              </fill>
            </x14:dxf>
          </x14:cfRule>
          <x14:cfRule type="containsText" priority="25" operator="containsText" id="{8FF02044-841E-412D-B4B1-51A17AC813D6}">
            <xm:f>NOT(ISERROR(SEARCH(Database!$G$5,E7)))</xm:f>
            <xm:f>Database!$G$5</xm:f>
            <x14:dxf>
              <font>
                <color theme="0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6" operator="containsText" id="{E77620C2-AC81-4918-A1E5-D19F2B9D2585}">
            <xm:f>NOT(ISERROR(SEARCH(Database!$G$4,E7)))</xm:f>
            <xm:f>Database!$G$4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7" operator="containsText" id="{BC8D0D7A-E83E-47D8-945B-C3BA3D25343A}">
            <xm:f>NOT(ISERROR(SEARCH(Database!$G$3,E7)))</xm:f>
            <xm:f>Database!$G$3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28" operator="containsText" id="{0F3BF47D-7C69-4655-8482-7699FAF2B98B}">
            <xm:f>NOT(ISERROR(SEARCH(Database!$G$2,E7)))</xm:f>
            <xm:f>Database!$G$2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m:sqref>E7:E25</xm:sqref>
        </x14:conditionalFormatting>
        <x14:conditionalFormatting xmlns:xm="http://schemas.microsoft.com/office/excel/2006/main">
          <x14:cfRule type="containsText" priority="16" operator="containsText" id="{B9A0C79A-4EEC-4ED8-93D1-4A36057C3E98}">
            <xm:f>NOT(ISERROR(SEARCH(Database!$K$3,H7)))</xm:f>
            <xm:f>Database!$K$3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E1B0B3E2-9F9A-4690-AD9B-9C1B3C5B34D7}">
            <xm:f>NOT(ISERROR(SEARCH(Database!$K$2,H7)))</xm:f>
            <xm:f>Database!$K$2</xm:f>
            <x14:dxf>
              <font>
                <b/>
                <i val="0"/>
                <color theme="1"/>
              </font>
              <fill>
                <patternFill>
                  <bgColor rgb="FF00B050"/>
                </patternFill>
              </fill>
            </x14:dxf>
          </x14:cfRule>
          <xm:sqref>H7:H25</xm:sqref>
        </x14:conditionalFormatting>
        <x14:conditionalFormatting xmlns:xm="http://schemas.microsoft.com/office/excel/2006/main">
          <x14:cfRule type="containsText" priority="5" operator="containsText" id="{AD6E3DDF-0642-473D-B1A3-14A801F77A3E}">
            <xm:f>NOT(ISERROR(SEARCH(Database!$G$12,E2)))</xm:f>
            <xm:f>Database!$G$12</xm:f>
            <x14:dxf>
              <font>
                <color theme="0"/>
              </font>
              <fill>
                <patternFill patternType="solid">
                  <bgColor theme="8" tint="-0.24994659260841701"/>
                </patternFill>
              </fill>
            </x14:dxf>
          </x14:cfRule>
          <x14:cfRule type="containsText" priority="6" operator="containsText" id="{393CD51C-FF25-4EEE-840B-2554A9D8B6BC}">
            <xm:f>NOT(ISERROR(SEARCH(Database!$G$11,E2)))</xm:f>
            <xm:f>Database!$G$11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7" operator="containsText" id="{5FA67949-C9BF-4940-8D7B-2B1876A8BD14}">
            <xm:f>NOT(ISERROR(SEARCH(Database!$G$10,E2)))</xm:f>
            <xm:f>Database!$G$10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8" operator="containsText" id="{C5B3C16D-0A33-477C-929C-365D5045FBA6}">
            <xm:f>NOT(ISERROR(SEARCH(Database!$G$9,E2)))</xm:f>
            <xm:f>Database!$G$9</xm:f>
            <x14:dxf>
              <font>
                <color theme="0"/>
              </font>
              <fill>
                <patternFill patternType="solid">
                  <bgColor theme="5"/>
                </patternFill>
              </fill>
            </x14:dxf>
          </x14:cfRule>
          <x14:cfRule type="containsText" priority="9" operator="containsText" id="{CCBAB8FF-0597-4D93-8241-4DBBBA8E1159}">
            <xm:f>NOT(ISERROR(SEARCH(Database!$G$8,E2)))</xm:f>
            <xm:f>Database!$G$8</xm:f>
            <x14:dxf>
              <font>
                <color theme="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0" operator="containsText" id="{D66BD144-B60A-4900-8970-37A5CA1DA483}">
            <xm:f>NOT(ISERROR(SEARCH(Database!$G$7,E2)))</xm:f>
            <xm:f>Database!$G$7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containsText" priority="11" operator="containsText" id="{5D802457-1053-49D3-A116-9250B3CD7859}">
            <xm:f>NOT(ISERROR(SEARCH(Database!$G$6,E2)))</xm:f>
            <xm:f>Database!$G$6</xm:f>
            <x14:dxf>
              <font>
                <color theme="0"/>
              </font>
              <fill>
                <patternFill>
                  <bgColor theme="5" tint="-0.499984740745262"/>
                </patternFill>
              </fill>
            </x14:dxf>
          </x14:cfRule>
          <x14:cfRule type="containsText" priority="12" operator="containsText" id="{D54C76F4-B414-4E55-AD42-289DAD3E9FDC}">
            <xm:f>NOT(ISERROR(SEARCH(Database!$G$5,E2)))</xm:f>
            <xm:f>Database!$G$5</xm:f>
            <x14:dxf>
              <font>
                <color theme="0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3" operator="containsText" id="{457D6EF7-57CF-4752-A1B2-253AE08D1811}">
            <xm:f>NOT(ISERROR(SEARCH(Database!$G$4,E2)))</xm:f>
            <xm:f>Database!$G$4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4" operator="containsText" id="{A513CA71-BC49-48C0-858B-509E60EEA71A}">
            <xm:f>NOT(ISERROR(SEARCH(Database!$G$3,E2)))</xm:f>
            <xm:f>Database!$G$3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15" operator="containsText" id="{A2D69860-B49A-4F0C-B479-767118E17FA8}">
            <xm:f>NOT(ISERROR(SEARCH(Database!$G$2,E2)))</xm:f>
            <xm:f>Database!$G$2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m:sqref>E2:E6</xm:sqref>
        </x14:conditionalFormatting>
        <x14:conditionalFormatting xmlns:xm="http://schemas.microsoft.com/office/excel/2006/main">
          <x14:cfRule type="containsText" priority="3" operator="containsText" id="{DE2B5172-CBA9-4B82-88BB-4198E3E3D5A1}">
            <xm:f>NOT(ISERROR(SEARCH(Database!$K$3,H2)))</xm:f>
            <xm:f>Database!$K$3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4" operator="containsText" id="{A566BD84-2558-4D1D-946C-083024D8E068}">
            <xm:f>NOT(ISERROR(SEARCH(Database!$K$2,H2)))</xm:f>
            <xm:f>Database!$K$2</xm:f>
            <x14:dxf>
              <font>
                <b/>
                <i val="0"/>
                <color theme="1"/>
              </font>
              <fill>
                <patternFill>
                  <bgColor rgb="FF00B050"/>
                </patternFill>
              </fill>
            </x14:dxf>
          </x14:cfRule>
          <xm:sqref>H2:H6</xm:sqref>
        </x14:conditionalFormatting>
        <x14:conditionalFormatting xmlns:xm="http://schemas.microsoft.com/office/excel/2006/main">
          <x14:cfRule type="containsText" priority="1" operator="containsText" id="{95ED75D5-C34E-4C51-B3E6-3B17F752B8EB}">
            <xm:f>NOT(ISERROR(SEARCH(Database!$K$3,H27)))</xm:f>
            <xm:f>Database!$K$3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4BE03922-65E5-4C66-994D-E97CFD7383CB}">
            <xm:f>NOT(ISERROR(SEARCH(Database!$K$2,H27)))</xm:f>
            <xm:f>Database!$K$2</xm:f>
            <x14:dxf>
              <font>
                <b/>
                <i val="0"/>
                <color theme="1"/>
              </font>
              <fill>
                <patternFill>
                  <bgColor rgb="FF00B050"/>
                </patternFill>
              </fill>
            </x14:dxf>
          </x14:cfRule>
          <xm:sqref>H27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516A174-220F-4DD3-9E5E-E44046EA924A}">
          <x14:formula1>
            <xm:f>Database!$K$2:$K$3</xm:f>
          </x14:formula1>
          <xm:sqref>H2:H25 H27</xm:sqref>
        </x14:dataValidation>
        <x14:dataValidation type="list" allowBlank="1" showInputMessage="1" showErrorMessage="1" xr:uid="{46706245-4E2F-4A19-B6CB-176BAA74CCEA}">
          <x14:formula1>
            <xm:f>Database!$I$2:$I$3</xm:f>
          </x14:formula1>
          <xm:sqref>G2:G25 G27</xm:sqref>
        </x14:dataValidation>
        <x14:dataValidation type="list" allowBlank="1" showInputMessage="1" showErrorMessage="1" xr:uid="{6B1CDD15-BBE8-4DE5-AC60-94737CCC8404}">
          <x14:formula1>
            <xm:f>Database!$G$2:$G$12</xm:f>
          </x14:formula1>
          <xm:sqref>E2:E25</xm:sqref>
        </x14:dataValidation>
        <x14:dataValidation type="list" allowBlank="1" showInputMessage="1" showErrorMessage="1" xr:uid="{C967ECBE-D9AE-49AE-A0F0-54BF7B8630FC}">
          <x14:formula1>
            <xm:f>Database!$C$2:$C$8</xm:f>
          </x14:formula1>
          <xm:sqref>D2:D30</xm:sqref>
        </x14:dataValidation>
        <x14:dataValidation type="list" allowBlank="1" showInputMessage="1" showErrorMessage="1" xr:uid="{90C6421E-448F-4133-B037-4F305A9925F0}">
          <x14:formula1>
            <xm:f>Database!$A$2:$A$6</xm:f>
          </x14:formula1>
          <xm:sqref>B27:B30 B2:B25</xm:sqref>
        </x14:dataValidation>
        <x14:dataValidation type="list" allowBlank="1" showInputMessage="1" showErrorMessage="1" xr:uid="{8B106498-C3F4-4847-AD9F-D002AB531287}">
          <x14:formula1>
            <xm:f>Database!$E$2:$E$10</xm:f>
          </x14:formula1>
          <xm:sqref>C2:C30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91FA-1AD1-407D-9BA6-64FF05346E74}">
  <dimension ref="A1:H30"/>
  <sheetViews>
    <sheetView workbookViewId="0">
      <selection activeCell="B2" sqref="B2:H3"/>
    </sheetView>
  </sheetViews>
  <sheetFormatPr defaultRowHeight="15" x14ac:dyDescent="0.25"/>
  <cols>
    <col min="2" max="2" width="13.85546875" bestFit="1" customWidth="1"/>
    <col min="3" max="3" width="20.28515625" bestFit="1" customWidth="1"/>
    <col min="5" max="5" width="14.85546875" bestFit="1" customWidth="1"/>
  </cols>
  <sheetData>
    <row r="1" spans="1:8" ht="55.5" x14ac:dyDescent="0.25">
      <c r="A1" s="5" t="s">
        <v>14</v>
      </c>
      <c r="B1" s="5" t="s">
        <v>15</v>
      </c>
      <c r="C1" s="5" t="s">
        <v>22</v>
      </c>
      <c r="D1" s="5" t="s">
        <v>23</v>
      </c>
      <c r="E1" s="5" t="s">
        <v>36</v>
      </c>
      <c r="F1" s="5" t="s">
        <v>49</v>
      </c>
      <c r="G1" s="5" t="s">
        <v>50</v>
      </c>
      <c r="H1" s="5" t="s">
        <v>53</v>
      </c>
    </row>
    <row r="2" spans="1:8" x14ac:dyDescent="0.25">
      <c r="A2" s="1">
        <v>1</v>
      </c>
      <c r="B2" s="1" t="s">
        <v>17</v>
      </c>
      <c r="C2" s="1" t="s">
        <v>34</v>
      </c>
      <c r="D2" s="1" t="s">
        <v>28</v>
      </c>
      <c r="E2" s="1" t="s">
        <v>46</v>
      </c>
      <c r="F2" s="1"/>
      <c r="G2" s="1" t="s">
        <v>51</v>
      </c>
      <c r="H2" s="1" t="s">
        <v>13</v>
      </c>
    </row>
    <row r="3" spans="1:8" x14ac:dyDescent="0.25">
      <c r="A3" s="1">
        <v>2</v>
      </c>
      <c r="B3" s="1" t="s">
        <v>17</v>
      </c>
      <c r="C3" s="1" t="s">
        <v>59</v>
      </c>
      <c r="D3" s="1" t="s">
        <v>28</v>
      </c>
      <c r="E3" s="1" t="s">
        <v>46</v>
      </c>
      <c r="F3" s="1"/>
      <c r="G3" s="1" t="s">
        <v>51</v>
      </c>
      <c r="H3" s="1" t="s">
        <v>13</v>
      </c>
    </row>
    <row r="4" spans="1:8" x14ac:dyDescent="0.25">
      <c r="A4" s="1">
        <v>3</v>
      </c>
      <c r="B4" s="1"/>
      <c r="C4" s="1"/>
      <c r="D4" s="1"/>
      <c r="E4" s="1"/>
      <c r="F4" s="1"/>
      <c r="G4" s="1"/>
      <c r="H4" s="1"/>
    </row>
    <row r="5" spans="1:8" x14ac:dyDescent="0.25">
      <c r="A5" s="1">
        <v>4</v>
      </c>
      <c r="B5" s="1"/>
      <c r="C5" s="1"/>
      <c r="D5" s="1"/>
      <c r="E5" s="1"/>
      <c r="F5" s="1"/>
      <c r="G5" s="1"/>
      <c r="H5" s="1"/>
    </row>
    <row r="6" spans="1:8" x14ac:dyDescent="0.25">
      <c r="A6" s="1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>
        <v>6</v>
      </c>
      <c r="B7" s="1"/>
      <c r="C7" s="1"/>
      <c r="D7" s="1"/>
      <c r="E7" s="1"/>
      <c r="F7" s="1"/>
      <c r="G7" s="1"/>
      <c r="H7" s="1"/>
    </row>
    <row r="8" spans="1:8" x14ac:dyDescent="0.25">
      <c r="A8" s="1">
        <v>7</v>
      </c>
      <c r="B8" s="1"/>
      <c r="C8" s="1"/>
      <c r="D8" s="1"/>
      <c r="E8" s="1"/>
      <c r="F8" s="1"/>
      <c r="G8" s="1"/>
      <c r="H8" s="1"/>
    </row>
    <row r="9" spans="1:8" x14ac:dyDescent="0.25">
      <c r="A9" s="1">
        <v>8</v>
      </c>
      <c r="B9" s="1"/>
      <c r="C9" s="1"/>
      <c r="D9" s="1"/>
      <c r="E9" s="1"/>
      <c r="F9" s="1"/>
      <c r="G9" s="1"/>
      <c r="H9" s="1"/>
    </row>
    <row r="10" spans="1:8" x14ac:dyDescent="0.25">
      <c r="A10" s="1">
        <v>9</v>
      </c>
      <c r="B10" s="1"/>
      <c r="C10" s="1"/>
      <c r="D10" s="1"/>
      <c r="E10" s="1"/>
      <c r="F10" s="1"/>
      <c r="G10" s="1"/>
      <c r="H10" s="1"/>
    </row>
    <row r="11" spans="1:8" x14ac:dyDescent="0.25">
      <c r="A11" s="1">
        <v>10</v>
      </c>
      <c r="B11" s="1"/>
      <c r="C11" s="1"/>
      <c r="D11" s="1"/>
      <c r="E11" s="1"/>
      <c r="F11" s="1"/>
      <c r="G11" s="1"/>
      <c r="H11" s="1"/>
    </row>
    <row r="12" spans="1:8" x14ac:dyDescent="0.25">
      <c r="A12" s="1">
        <v>11</v>
      </c>
      <c r="B12" s="1"/>
      <c r="C12" s="1"/>
      <c r="D12" s="1"/>
      <c r="E12" s="1"/>
      <c r="F12" s="1"/>
      <c r="G12" s="1"/>
      <c r="H12" s="1"/>
    </row>
    <row r="13" spans="1:8" x14ac:dyDescent="0.25">
      <c r="A13" s="1">
        <v>12</v>
      </c>
      <c r="B13" s="1"/>
      <c r="C13" s="1"/>
      <c r="D13" s="1"/>
      <c r="E13" s="1"/>
      <c r="F13" s="1"/>
      <c r="G13" s="1"/>
      <c r="H13" s="1"/>
    </row>
    <row r="14" spans="1:8" x14ac:dyDescent="0.25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5">
      <c r="A15" s="1">
        <v>14</v>
      </c>
      <c r="B15" s="1"/>
      <c r="C15" s="1"/>
      <c r="D15" s="1"/>
      <c r="E15" s="1"/>
      <c r="F15" s="1"/>
      <c r="G15" s="1"/>
      <c r="H15" s="1"/>
    </row>
    <row r="16" spans="1:8" x14ac:dyDescent="0.25">
      <c r="A16" s="1">
        <v>15</v>
      </c>
      <c r="B16" s="1"/>
      <c r="C16" s="1"/>
      <c r="D16" s="1"/>
      <c r="E16" s="1"/>
      <c r="F16" s="1"/>
      <c r="G16" s="1"/>
      <c r="H16" s="1"/>
    </row>
    <row r="17" spans="1:8" x14ac:dyDescent="0.25">
      <c r="A17" s="1">
        <v>16</v>
      </c>
      <c r="B17" s="1"/>
      <c r="C17" s="1"/>
      <c r="D17" s="1"/>
      <c r="E17" s="1"/>
      <c r="F17" s="1"/>
      <c r="G17" s="1"/>
      <c r="H17" s="1"/>
    </row>
    <row r="18" spans="1:8" x14ac:dyDescent="0.25">
      <c r="A18" s="1">
        <v>17</v>
      </c>
      <c r="B18" s="1"/>
      <c r="C18" s="1"/>
      <c r="D18" s="1"/>
      <c r="E18" s="1"/>
      <c r="F18" s="1"/>
      <c r="G18" s="1"/>
      <c r="H18" s="1"/>
    </row>
    <row r="19" spans="1:8" x14ac:dyDescent="0.25">
      <c r="A19" s="1">
        <v>18</v>
      </c>
      <c r="B19" s="1"/>
      <c r="C19" s="1"/>
      <c r="D19" s="1"/>
      <c r="E19" s="1"/>
      <c r="F19" s="1"/>
      <c r="G19" s="1"/>
      <c r="H19" s="1"/>
    </row>
    <row r="20" spans="1:8" x14ac:dyDescent="0.25">
      <c r="A20" s="1">
        <v>19</v>
      </c>
      <c r="B20" s="1"/>
      <c r="C20" s="1"/>
      <c r="D20" s="1"/>
      <c r="E20" s="1"/>
      <c r="F20" s="1"/>
      <c r="G20" s="1"/>
      <c r="H20" s="1"/>
    </row>
    <row r="21" spans="1:8" x14ac:dyDescent="0.25">
      <c r="A21" s="1">
        <v>20</v>
      </c>
      <c r="B21" s="1"/>
      <c r="C21" s="1"/>
      <c r="D21" s="1"/>
      <c r="E21" s="1"/>
      <c r="F21" s="1"/>
      <c r="G21" s="1"/>
      <c r="H21" s="1"/>
    </row>
    <row r="22" spans="1:8" x14ac:dyDescent="0.25">
      <c r="A22" s="1">
        <v>21</v>
      </c>
      <c r="B22" s="1"/>
      <c r="C22" s="1"/>
      <c r="D22" s="1"/>
      <c r="E22" s="1"/>
      <c r="F22" s="1"/>
      <c r="G22" s="1"/>
      <c r="H22" s="1"/>
    </row>
    <row r="23" spans="1:8" x14ac:dyDescent="0.25">
      <c r="A23" s="1">
        <v>22</v>
      </c>
      <c r="B23" s="1"/>
      <c r="C23" s="1"/>
      <c r="D23" s="1"/>
      <c r="E23" s="1"/>
      <c r="F23" s="1"/>
      <c r="G23" s="1"/>
      <c r="H23" s="1"/>
    </row>
    <row r="24" spans="1:8" x14ac:dyDescent="0.25">
      <c r="A24" s="1">
        <v>23</v>
      </c>
      <c r="B24" s="1"/>
      <c r="C24" s="1"/>
      <c r="D24" s="1"/>
      <c r="E24" s="1"/>
      <c r="F24" s="1"/>
      <c r="G24" s="1"/>
      <c r="H24" s="1"/>
    </row>
    <row r="25" spans="1:8" x14ac:dyDescent="0.25">
      <c r="A25" s="1">
        <v>24</v>
      </c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8D2F2CD8-DA71-401C-B1BB-FB1FC9B70462}">
            <xm:f>NOT(ISERROR(SEARCH(Database!$G$12,E2)))</xm:f>
            <xm:f>Database!$G$12</xm:f>
            <x14:dxf>
              <font>
                <color theme="0"/>
              </font>
              <fill>
                <patternFill patternType="solid">
                  <bgColor theme="8" tint="-0.24994659260841701"/>
                </patternFill>
              </fill>
            </x14:dxf>
          </x14:cfRule>
          <x14:cfRule type="containsText" priority="4" operator="containsText" id="{AF4ED129-2E19-4306-85ED-C7ADEE3A2194}">
            <xm:f>NOT(ISERROR(SEARCH(Database!$G$11,E2)))</xm:f>
            <xm:f>Database!$G$11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5" operator="containsText" id="{94BF065E-E003-46D9-B6AC-60EE9C26DD28}">
            <xm:f>NOT(ISERROR(SEARCH(Database!$G$10,E2)))</xm:f>
            <xm:f>Database!$G$10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6" operator="containsText" id="{784C3BB3-0E6E-4565-A303-DF7ED4E61DB4}">
            <xm:f>NOT(ISERROR(SEARCH(Database!$G$9,E2)))</xm:f>
            <xm:f>Database!$G$9</xm:f>
            <x14:dxf>
              <font>
                <color theme="0"/>
              </font>
              <fill>
                <patternFill patternType="solid">
                  <bgColor theme="5"/>
                </patternFill>
              </fill>
            </x14:dxf>
          </x14:cfRule>
          <x14:cfRule type="containsText" priority="7" operator="containsText" id="{6B495B59-CA19-4150-852F-7D13F3F371FD}">
            <xm:f>NOT(ISERROR(SEARCH(Database!$G$8,E2)))</xm:f>
            <xm:f>Database!$G$8</xm:f>
            <x14:dxf>
              <font>
                <color theme="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" operator="containsText" id="{0F53A8C6-8D3E-45D7-BAA2-BB1DF967FACD}">
            <xm:f>NOT(ISERROR(SEARCH(Database!$G$7,E2)))</xm:f>
            <xm:f>Database!$G$7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containsText" priority="9" operator="containsText" id="{E0A6E603-E23A-463D-B1B0-57CC4899C90A}">
            <xm:f>NOT(ISERROR(SEARCH(Database!$G$6,E2)))</xm:f>
            <xm:f>Database!$G$6</xm:f>
            <x14:dxf>
              <font>
                <color theme="0"/>
              </font>
              <fill>
                <patternFill>
                  <bgColor theme="5" tint="-0.499984740745262"/>
                </patternFill>
              </fill>
            </x14:dxf>
          </x14:cfRule>
          <x14:cfRule type="containsText" priority="10" operator="containsText" id="{23AC9C84-CB65-4958-9FD8-300A9A7CC2D2}">
            <xm:f>NOT(ISERROR(SEARCH(Database!$G$5,E2)))</xm:f>
            <xm:f>Database!$G$5</xm:f>
            <x14:dxf>
              <font>
                <color theme="0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" operator="containsText" id="{D58ABC70-EAF8-48CD-A94B-E5E811ECAE79}">
            <xm:f>NOT(ISERROR(SEARCH(Database!$G$4,E2)))</xm:f>
            <xm:f>Database!$G$4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98FD49DB-C2E6-4D35-8D0E-A475765BD41C}">
            <xm:f>NOT(ISERROR(SEARCH(Database!$G$3,E2)))</xm:f>
            <xm:f>Database!$G$3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13" operator="containsText" id="{57BD12FD-6D77-4461-844F-77D0AE941C6D}">
            <xm:f>NOT(ISERROR(SEARCH(Database!$G$2,E2)))</xm:f>
            <xm:f>Database!$G$2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m:sqref>E2:E25</xm:sqref>
        </x14:conditionalFormatting>
        <x14:conditionalFormatting xmlns:xm="http://schemas.microsoft.com/office/excel/2006/main">
          <x14:cfRule type="containsText" priority="1" operator="containsText" id="{6603B0BE-D2F9-46CB-A7F0-B16ACBA602B8}">
            <xm:f>NOT(ISERROR(SEARCH(Database!$K$3,H2)))</xm:f>
            <xm:f>Database!$K$3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BB014BA5-7BB3-4225-B6C6-D435FAA24B5F}">
            <xm:f>NOT(ISERROR(SEARCH(Database!$K$2,H2)))</xm:f>
            <xm:f>Database!$K$2</xm:f>
            <x14:dxf>
              <font>
                <b/>
                <i val="0"/>
                <color theme="1"/>
              </font>
              <fill>
                <patternFill>
                  <bgColor rgb="FF00B050"/>
                </patternFill>
              </fill>
            </x14:dxf>
          </x14:cfRule>
          <xm:sqref>H2:H25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C996742-42AF-41B5-B700-B38B73A8BDFD}">
          <x14:formula1>
            <xm:f>Database!$K$2:$K$3</xm:f>
          </x14:formula1>
          <xm:sqref>H2:H25</xm:sqref>
        </x14:dataValidation>
        <x14:dataValidation type="list" allowBlank="1" showInputMessage="1" showErrorMessage="1" xr:uid="{2D63327A-A1CF-4F49-969C-2795801B8B5F}">
          <x14:formula1>
            <xm:f>Database!$I$2:$I$3</xm:f>
          </x14:formula1>
          <xm:sqref>G2:G25</xm:sqref>
        </x14:dataValidation>
        <x14:dataValidation type="list" allowBlank="1" showInputMessage="1" showErrorMessage="1" xr:uid="{EC06849B-CDC0-4D88-B806-BF6D216FF988}">
          <x14:formula1>
            <xm:f>Database!$G$2:$G$12</xm:f>
          </x14:formula1>
          <xm:sqref>E2:E25</xm:sqref>
        </x14:dataValidation>
        <x14:dataValidation type="list" allowBlank="1" showInputMessage="1" showErrorMessage="1" xr:uid="{41391012-3A57-4697-8EB1-226893814D48}">
          <x14:formula1>
            <xm:f>Database!$C$2:$C$8</xm:f>
          </x14:formula1>
          <xm:sqref>D2:D25</xm:sqref>
        </x14:dataValidation>
        <x14:dataValidation type="list" allowBlank="1" showInputMessage="1" showErrorMessage="1" xr:uid="{A2B7DAAB-61BD-4956-BCF3-7C049EAD748E}">
          <x14:formula1>
            <xm:f>Database!$A$2:$A$6</xm:f>
          </x14:formula1>
          <xm:sqref>B27:B30 B2:B25</xm:sqref>
        </x14:dataValidation>
        <x14:dataValidation type="list" allowBlank="1" showInputMessage="1" showErrorMessage="1" xr:uid="{72F7822E-FC22-45FD-85C5-04662CE2D860}">
          <x14:formula1>
            <xm:f>Database!$E$2:$E$11</xm:f>
          </x14:formula1>
          <xm:sqref>C2:C30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C0D3-3B6B-4325-9945-951F408CBE12}">
  <dimension ref="A1:H30"/>
  <sheetViews>
    <sheetView workbookViewId="0">
      <selection activeCell="E19" sqref="E19"/>
    </sheetView>
  </sheetViews>
  <sheetFormatPr defaultRowHeight="15" x14ac:dyDescent="0.25"/>
  <cols>
    <col min="2" max="2" width="13.85546875" bestFit="1" customWidth="1"/>
    <col min="3" max="3" width="20.42578125" bestFit="1" customWidth="1"/>
    <col min="5" max="5" width="14.85546875" bestFit="1" customWidth="1"/>
  </cols>
  <sheetData>
    <row r="1" spans="1:8" ht="55.5" x14ac:dyDescent="0.25">
      <c r="A1" s="5" t="s">
        <v>14</v>
      </c>
      <c r="B1" s="5" t="s">
        <v>15</v>
      </c>
      <c r="C1" s="5" t="s">
        <v>22</v>
      </c>
      <c r="D1" s="5" t="s">
        <v>23</v>
      </c>
      <c r="E1" s="5" t="s">
        <v>36</v>
      </c>
      <c r="F1" s="5" t="s">
        <v>49</v>
      </c>
      <c r="G1" s="5" t="s">
        <v>50</v>
      </c>
      <c r="H1" s="5" t="s">
        <v>53</v>
      </c>
    </row>
    <row r="2" spans="1:8" x14ac:dyDescent="0.25">
      <c r="A2" s="1">
        <v>1</v>
      </c>
      <c r="B2" s="1" t="s">
        <v>17</v>
      </c>
      <c r="C2" s="1" t="s">
        <v>34</v>
      </c>
      <c r="D2" s="1" t="s">
        <v>29</v>
      </c>
      <c r="E2" s="1" t="s">
        <v>46</v>
      </c>
      <c r="F2" s="1"/>
      <c r="G2" s="1" t="s">
        <v>51</v>
      </c>
      <c r="H2" s="1" t="s">
        <v>13</v>
      </c>
    </row>
    <row r="3" spans="1:8" x14ac:dyDescent="0.25">
      <c r="A3" s="1">
        <v>2</v>
      </c>
      <c r="B3" s="1" t="s">
        <v>17</v>
      </c>
      <c r="C3" s="1" t="s">
        <v>59</v>
      </c>
      <c r="D3" s="1" t="s">
        <v>29</v>
      </c>
      <c r="E3" s="1" t="s">
        <v>46</v>
      </c>
      <c r="F3" s="1"/>
      <c r="G3" s="1" t="s">
        <v>51</v>
      </c>
      <c r="H3" s="1" t="s">
        <v>13</v>
      </c>
    </row>
    <row r="4" spans="1:8" x14ac:dyDescent="0.25">
      <c r="A4" s="1">
        <v>3</v>
      </c>
      <c r="B4" s="1"/>
      <c r="C4" s="1"/>
      <c r="D4" s="1"/>
      <c r="E4" s="1"/>
      <c r="F4" s="1"/>
      <c r="G4" s="1"/>
      <c r="H4" s="1"/>
    </row>
    <row r="5" spans="1:8" x14ac:dyDescent="0.25">
      <c r="A5" s="1">
        <v>4</v>
      </c>
      <c r="B5" s="1"/>
      <c r="C5" s="1"/>
      <c r="D5" s="1"/>
      <c r="E5" s="1"/>
      <c r="F5" s="1"/>
      <c r="G5" s="1"/>
      <c r="H5" s="1"/>
    </row>
    <row r="6" spans="1:8" x14ac:dyDescent="0.25">
      <c r="A6" s="1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>
        <v>6</v>
      </c>
      <c r="B7" s="1"/>
      <c r="C7" s="1"/>
      <c r="D7" s="1"/>
      <c r="E7" s="1"/>
      <c r="F7" s="1"/>
      <c r="G7" s="1"/>
      <c r="H7" s="1"/>
    </row>
    <row r="8" spans="1:8" x14ac:dyDescent="0.25">
      <c r="A8" s="1">
        <v>7</v>
      </c>
      <c r="B8" s="1"/>
      <c r="C8" s="1"/>
      <c r="D8" s="1"/>
      <c r="E8" s="1"/>
      <c r="F8" s="1"/>
      <c r="G8" s="1"/>
      <c r="H8" s="1"/>
    </row>
    <row r="9" spans="1:8" x14ac:dyDescent="0.25">
      <c r="A9" s="1">
        <v>8</v>
      </c>
      <c r="B9" s="1"/>
      <c r="C9" s="1"/>
      <c r="D9" s="1"/>
      <c r="E9" s="1"/>
      <c r="F9" s="1"/>
      <c r="G9" s="1"/>
      <c r="H9" s="1"/>
    </row>
    <row r="10" spans="1:8" x14ac:dyDescent="0.25">
      <c r="A10" s="1">
        <v>9</v>
      </c>
      <c r="B10" s="1"/>
      <c r="C10" s="1"/>
      <c r="D10" s="1"/>
      <c r="E10" s="1"/>
      <c r="F10" s="1"/>
      <c r="G10" s="1"/>
      <c r="H10" s="1"/>
    </row>
    <row r="11" spans="1:8" x14ac:dyDescent="0.25">
      <c r="A11" s="1">
        <v>10</v>
      </c>
      <c r="B11" s="1"/>
      <c r="C11" s="1"/>
      <c r="D11" s="1"/>
      <c r="E11" s="1"/>
      <c r="F11" s="1"/>
      <c r="G11" s="1"/>
      <c r="H11" s="1"/>
    </row>
    <row r="12" spans="1:8" x14ac:dyDescent="0.25">
      <c r="A12" s="1">
        <v>11</v>
      </c>
      <c r="B12" s="1"/>
      <c r="C12" s="1"/>
      <c r="D12" s="1"/>
      <c r="E12" s="1"/>
      <c r="F12" s="1"/>
      <c r="G12" s="1"/>
      <c r="H12" s="1"/>
    </row>
    <row r="13" spans="1:8" x14ac:dyDescent="0.25">
      <c r="A13" s="1">
        <v>12</v>
      </c>
      <c r="B13" s="1"/>
      <c r="C13" s="1"/>
      <c r="D13" s="1"/>
      <c r="E13" s="1"/>
      <c r="F13" s="1"/>
      <c r="G13" s="1"/>
      <c r="H13" s="1"/>
    </row>
    <row r="14" spans="1:8" x14ac:dyDescent="0.25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5">
      <c r="A15" s="1">
        <v>14</v>
      </c>
      <c r="B15" s="1"/>
      <c r="C15" s="1"/>
      <c r="D15" s="1"/>
      <c r="E15" s="1"/>
      <c r="F15" s="1"/>
      <c r="G15" s="1"/>
      <c r="H15" s="1"/>
    </row>
    <row r="16" spans="1:8" x14ac:dyDescent="0.25">
      <c r="A16" s="1">
        <v>15</v>
      </c>
      <c r="B16" s="1"/>
      <c r="C16" s="1"/>
      <c r="D16" s="1"/>
      <c r="E16" s="1"/>
      <c r="F16" s="1"/>
      <c r="G16" s="1"/>
      <c r="H16" s="1"/>
    </row>
    <row r="17" spans="1:8" x14ac:dyDescent="0.25">
      <c r="A17" s="1">
        <v>16</v>
      </c>
      <c r="B17" s="1"/>
      <c r="C17" s="1"/>
      <c r="D17" s="1"/>
      <c r="E17" s="1"/>
      <c r="F17" s="1"/>
      <c r="G17" s="1"/>
      <c r="H17" s="1"/>
    </row>
    <row r="18" spans="1:8" x14ac:dyDescent="0.25">
      <c r="A18" s="1">
        <v>17</v>
      </c>
      <c r="B18" s="1"/>
      <c r="C18" s="1"/>
      <c r="D18" s="1"/>
      <c r="E18" s="1"/>
      <c r="F18" s="1"/>
      <c r="G18" s="1"/>
      <c r="H18" s="1"/>
    </row>
    <row r="19" spans="1:8" x14ac:dyDescent="0.25">
      <c r="A19" s="1">
        <v>18</v>
      </c>
      <c r="B19" s="1"/>
      <c r="C19" s="1"/>
      <c r="D19" s="1"/>
      <c r="E19" s="1"/>
      <c r="F19" s="1"/>
      <c r="G19" s="1"/>
      <c r="H19" s="1"/>
    </row>
    <row r="20" spans="1:8" x14ac:dyDescent="0.25">
      <c r="A20" s="1">
        <v>19</v>
      </c>
      <c r="B20" s="1"/>
      <c r="C20" s="1"/>
      <c r="D20" s="1"/>
      <c r="E20" s="1"/>
      <c r="F20" s="1"/>
      <c r="G20" s="1"/>
      <c r="H20" s="1"/>
    </row>
    <row r="21" spans="1:8" x14ac:dyDescent="0.25">
      <c r="A21" s="1">
        <v>20</v>
      </c>
      <c r="B21" s="1"/>
      <c r="C21" s="1"/>
      <c r="D21" s="1"/>
      <c r="E21" s="1"/>
      <c r="F21" s="1"/>
      <c r="G21" s="1"/>
      <c r="H21" s="1"/>
    </row>
    <row r="22" spans="1:8" x14ac:dyDescent="0.25">
      <c r="A22" s="1">
        <v>21</v>
      </c>
      <c r="B22" s="1"/>
      <c r="C22" s="1"/>
      <c r="D22" s="1"/>
      <c r="E22" s="1"/>
      <c r="F22" s="1"/>
      <c r="G22" s="1"/>
      <c r="H22" s="1"/>
    </row>
    <row r="23" spans="1:8" x14ac:dyDescent="0.25">
      <c r="A23" s="1">
        <v>22</v>
      </c>
      <c r="B23" s="1"/>
      <c r="C23" s="1"/>
      <c r="D23" s="1"/>
      <c r="E23" s="1"/>
      <c r="F23" s="1"/>
      <c r="G23" s="1"/>
      <c r="H23" s="1"/>
    </row>
    <row r="24" spans="1:8" x14ac:dyDescent="0.25">
      <c r="A24" s="1">
        <v>23</v>
      </c>
      <c r="B24" s="1"/>
      <c r="C24" s="1"/>
      <c r="D24" s="1"/>
      <c r="E24" s="1"/>
      <c r="F24" s="1"/>
      <c r="G24" s="1"/>
      <c r="H24" s="1"/>
    </row>
    <row r="25" spans="1:8" x14ac:dyDescent="0.25">
      <c r="A25" s="1">
        <v>24</v>
      </c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" operator="containsText" id="{217E8711-C019-4EAB-B9F9-75E048BF1F02}">
            <xm:f>NOT(ISERROR(SEARCH(Database!$G$12,E4)))</xm:f>
            <xm:f>Database!$G$12</xm:f>
            <x14:dxf>
              <font>
                <color theme="0"/>
              </font>
              <fill>
                <patternFill patternType="solid">
                  <bgColor theme="8" tint="-0.24994659260841701"/>
                </patternFill>
              </fill>
            </x14:dxf>
          </x14:cfRule>
          <x14:cfRule type="containsText" priority="17" operator="containsText" id="{8815DDB6-35E9-4CF5-A904-7AFFEC707572}">
            <xm:f>NOT(ISERROR(SEARCH(Database!$G$11,E4)))</xm:f>
            <xm:f>Database!$G$11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18" operator="containsText" id="{D2D4AD86-0569-45E5-9EFB-89C1839FF34C}">
            <xm:f>NOT(ISERROR(SEARCH(Database!$G$10,E4)))</xm:f>
            <xm:f>Database!$G$10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9" operator="containsText" id="{32D5B189-D243-4FA5-A323-D4A6A5A5BCAE}">
            <xm:f>NOT(ISERROR(SEARCH(Database!$G$9,E4)))</xm:f>
            <xm:f>Database!$G$9</xm:f>
            <x14:dxf>
              <font>
                <color theme="0"/>
              </font>
              <fill>
                <patternFill patternType="solid">
                  <bgColor theme="5"/>
                </patternFill>
              </fill>
            </x14:dxf>
          </x14:cfRule>
          <x14:cfRule type="containsText" priority="20" operator="containsText" id="{1D8A5BA3-48AB-49C0-B95F-7C2AB6AA847F}">
            <xm:f>NOT(ISERROR(SEARCH(Database!$G$8,E4)))</xm:f>
            <xm:f>Database!$G$8</xm:f>
            <x14:dxf>
              <font>
                <color theme="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1" operator="containsText" id="{9CA2F4D8-D1FF-407A-9F98-91749ED1DE8C}">
            <xm:f>NOT(ISERROR(SEARCH(Database!$G$7,E4)))</xm:f>
            <xm:f>Database!$G$7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containsText" priority="22" operator="containsText" id="{21444575-3131-4D85-89B6-D19F5536B793}">
            <xm:f>NOT(ISERROR(SEARCH(Database!$G$6,E4)))</xm:f>
            <xm:f>Database!$G$6</xm:f>
            <x14:dxf>
              <font>
                <color theme="0"/>
              </font>
              <fill>
                <patternFill>
                  <bgColor theme="5" tint="-0.499984740745262"/>
                </patternFill>
              </fill>
            </x14:dxf>
          </x14:cfRule>
          <x14:cfRule type="containsText" priority="23" operator="containsText" id="{FD27AF67-079A-4829-8900-E84064C7064A}">
            <xm:f>NOT(ISERROR(SEARCH(Database!$G$5,E4)))</xm:f>
            <xm:f>Database!$G$5</xm:f>
            <x14:dxf>
              <font>
                <color theme="0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4" operator="containsText" id="{1A8C9DAE-C2D2-45B2-9A17-8E2497750DCC}">
            <xm:f>NOT(ISERROR(SEARCH(Database!$G$4,E4)))</xm:f>
            <xm:f>Database!$G$4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5" operator="containsText" id="{94CFCD5C-7FAA-428A-854C-B403D88AB383}">
            <xm:f>NOT(ISERROR(SEARCH(Database!$G$3,E4)))</xm:f>
            <xm:f>Database!$G$3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26" operator="containsText" id="{1457878B-637F-4C36-AB12-9D8D5476E317}">
            <xm:f>NOT(ISERROR(SEARCH(Database!$G$2,E4)))</xm:f>
            <xm:f>Database!$G$2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m:sqref>E4:E25</xm:sqref>
        </x14:conditionalFormatting>
        <x14:conditionalFormatting xmlns:xm="http://schemas.microsoft.com/office/excel/2006/main">
          <x14:cfRule type="containsText" priority="14" operator="containsText" id="{39A9C0AB-8B95-4083-8193-20B4D1F78B6A}">
            <xm:f>NOT(ISERROR(SEARCH(Database!$K$3,H4)))</xm:f>
            <xm:f>Database!$K$3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15" operator="containsText" id="{2AFBEAC6-4AF4-49BF-AAE5-A71598C592AD}">
            <xm:f>NOT(ISERROR(SEARCH(Database!$K$2,H4)))</xm:f>
            <xm:f>Database!$K$2</xm:f>
            <x14:dxf>
              <font>
                <b/>
                <i val="0"/>
                <color theme="1"/>
              </font>
              <fill>
                <patternFill>
                  <bgColor rgb="FF00B050"/>
                </patternFill>
              </fill>
            </x14:dxf>
          </x14:cfRule>
          <xm:sqref>H4:H25</xm:sqref>
        </x14:conditionalFormatting>
        <x14:conditionalFormatting xmlns:xm="http://schemas.microsoft.com/office/excel/2006/main">
          <x14:cfRule type="containsText" priority="3" operator="containsText" id="{A56D8DCD-6819-4FD5-8FE4-9648621D6FB7}">
            <xm:f>NOT(ISERROR(SEARCH(Database!$G$12,E2)))</xm:f>
            <xm:f>Database!$G$12</xm:f>
            <x14:dxf>
              <font>
                <color theme="0"/>
              </font>
              <fill>
                <patternFill patternType="solid">
                  <bgColor theme="8" tint="-0.24994659260841701"/>
                </patternFill>
              </fill>
            </x14:dxf>
          </x14:cfRule>
          <x14:cfRule type="containsText" priority="4" operator="containsText" id="{6512B833-5109-4586-96F7-8B7E442965A8}">
            <xm:f>NOT(ISERROR(SEARCH(Database!$G$11,E2)))</xm:f>
            <xm:f>Database!$G$11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5" operator="containsText" id="{13E5E410-D3EB-4338-AFE8-5C9C15FD6141}">
            <xm:f>NOT(ISERROR(SEARCH(Database!$G$10,E2)))</xm:f>
            <xm:f>Database!$G$10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6" operator="containsText" id="{B3E010D0-3091-4E6F-A8FC-4FEBBDF022E3}">
            <xm:f>NOT(ISERROR(SEARCH(Database!$G$9,E2)))</xm:f>
            <xm:f>Database!$G$9</xm:f>
            <x14:dxf>
              <font>
                <color theme="0"/>
              </font>
              <fill>
                <patternFill patternType="solid">
                  <bgColor theme="5"/>
                </patternFill>
              </fill>
            </x14:dxf>
          </x14:cfRule>
          <x14:cfRule type="containsText" priority="7" operator="containsText" id="{A1DE8B73-EA58-462B-87E6-09699DE8A5B3}">
            <xm:f>NOT(ISERROR(SEARCH(Database!$G$8,E2)))</xm:f>
            <xm:f>Database!$G$8</xm:f>
            <x14:dxf>
              <font>
                <color theme="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" operator="containsText" id="{A5F6426F-BD06-4CB9-A066-C2E6A0BDB547}">
            <xm:f>NOT(ISERROR(SEARCH(Database!$G$7,E2)))</xm:f>
            <xm:f>Database!$G$7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containsText" priority="9" operator="containsText" id="{D30FB5EC-F0F1-4A45-9587-5F17D47B2B26}">
            <xm:f>NOT(ISERROR(SEARCH(Database!$G$6,E2)))</xm:f>
            <xm:f>Database!$G$6</xm:f>
            <x14:dxf>
              <font>
                <color theme="0"/>
              </font>
              <fill>
                <patternFill>
                  <bgColor theme="5" tint="-0.499984740745262"/>
                </patternFill>
              </fill>
            </x14:dxf>
          </x14:cfRule>
          <x14:cfRule type="containsText" priority="10" operator="containsText" id="{4ED78011-C24A-4E62-9DDF-8071379F135E}">
            <xm:f>NOT(ISERROR(SEARCH(Database!$G$5,E2)))</xm:f>
            <xm:f>Database!$G$5</xm:f>
            <x14:dxf>
              <font>
                <color theme="0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" operator="containsText" id="{CE0CEC61-B5FD-4EA8-98DB-8F7B8FADF613}">
            <xm:f>NOT(ISERROR(SEARCH(Database!$G$4,E2)))</xm:f>
            <xm:f>Database!$G$4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40B9F7C1-D782-4882-B5E7-8132E1ED8328}">
            <xm:f>NOT(ISERROR(SEARCH(Database!$G$3,E2)))</xm:f>
            <xm:f>Database!$G$3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13" operator="containsText" id="{452D4711-B30E-440F-944C-9EBF40F9E627}">
            <xm:f>NOT(ISERROR(SEARCH(Database!$G$2,E2)))</xm:f>
            <xm:f>Database!$G$2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m:sqref>E2:E3</xm:sqref>
        </x14:conditionalFormatting>
        <x14:conditionalFormatting xmlns:xm="http://schemas.microsoft.com/office/excel/2006/main">
          <x14:cfRule type="containsText" priority="1" operator="containsText" id="{D77231E9-FCB3-4858-A20A-CD2FBDB46C71}">
            <xm:f>NOT(ISERROR(SEARCH(Database!$K$3,H2)))</xm:f>
            <xm:f>Database!$K$3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33294988-C1C6-45DE-B78A-96923195EB19}">
            <xm:f>NOT(ISERROR(SEARCH(Database!$K$2,H2)))</xm:f>
            <xm:f>Database!$K$2</xm:f>
            <x14:dxf>
              <font>
                <b/>
                <i val="0"/>
                <color theme="1"/>
              </font>
              <fill>
                <patternFill>
                  <bgColor rgb="FF00B050"/>
                </patternFill>
              </fill>
            </x14:dxf>
          </x14:cfRule>
          <xm:sqref>H2:H3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CA328FB-1928-47B0-8047-C70FEB5F08FB}">
          <x14:formula1>
            <xm:f>Database!$K$2:$K$3</xm:f>
          </x14:formula1>
          <xm:sqref>H2:H25</xm:sqref>
        </x14:dataValidation>
        <x14:dataValidation type="list" allowBlank="1" showInputMessage="1" showErrorMessage="1" xr:uid="{967EEA34-5158-4409-A092-6A31755D434F}">
          <x14:formula1>
            <xm:f>Database!$I$2:$I$3</xm:f>
          </x14:formula1>
          <xm:sqref>G2:G25</xm:sqref>
        </x14:dataValidation>
        <x14:dataValidation type="list" allowBlank="1" showInputMessage="1" showErrorMessage="1" xr:uid="{AEA98C4F-7770-45B5-8061-B031FF238619}">
          <x14:formula1>
            <xm:f>Database!$G$2:$G$12</xm:f>
          </x14:formula1>
          <xm:sqref>E2:E25</xm:sqref>
        </x14:dataValidation>
        <x14:dataValidation type="list" allowBlank="1" showInputMessage="1" showErrorMessage="1" xr:uid="{D42A1609-8DF6-452B-A154-0BBF61402F4D}">
          <x14:formula1>
            <xm:f>Database!$C$2:$C$8</xm:f>
          </x14:formula1>
          <xm:sqref>D2:D25</xm:sqref>
        </x14:dataValidation>
        <x14:dataValidation type="list" allowBlank="1" showInputMessage="1" showErrorMessage="1" xr:uid="{761DE8B9-1601-420A-B9A4-ED4B77FFB73A}">
          <x14:formula1>
            <xm:f>Database!$E$2:$E$6</xm:f>
          </x14:formula1>
          <xm:sqref>C4:C25</xm:sqref>
        </x14:dataValidation>
        <x14:dataValidation type="list" allowBlank="1" showInputMessage="1" showErrorMessage="1" xr:uid="{5AA02C52-8F16-438B-9543-B69B292669F9}">
          <x14:formula1>
            <xm:f>Database!$A$2:$A$6</xm:f>
          </x14:formula1>
          <xm:sqref>B27:B30 B2:B25</xm:sqref>
        </x14:dataValidation>
        <x14:dataValidation type="list" allowBlank="1" showInputMessage="1" showErrorMessage="1" xr:uid="{298B0BEB-C8C7-4C41-A227-41744836B9E3}">
          <x14:formula1>
            <xm:f>Database!$E$2:$E$11</xm:f>
          </x14:formula1>
          <xm:sqref>C2:C3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1338-587C-4C86-B909-0D5ABDE73012}">
  <dimension ref="A1:H30"/>
  <sheetViews>
    <sheetView tabSelected="1" workbookViewId="0">
      <selection activeCell="E17" sqref="E17"/>
    </sheetView>
  </sheetViews>
  <sheetFormatPr defaultRowHeight="15" x14ac:dyDescent="0.25"/>
  <cols>
    <col min="2" max="2" width="13.85546875" bestFit="1" customWidth="1"/>
    <col min="3" max="3" width="28" bestFit="1" customWidth="1"/>
    <col min="5" max="5" width="20.7109375" bestFit="1" customWidth="1"/>
  </cols>
  <sheetData>
    <row r="1" spans="1:8" ht="55.5" x14ac:dyDescent="0.25">
      <c r="A1" s="5" t="s">
        <v>14</v>
      </c>
      <c r="B1" s="5" t="s">
        <v>15</v>
      </c>
      <c r="C1" s="5" t="s">
        <v>22</v>
      </c>
      <c r="D1" s="5" t="s">
        <v>23</v>
      </c>
      <c r="E1" s="5" t="s">
        <v>36</v>
      </c>
      <c r="F1" s="5" t="s">
        <v>49</v>
      </c>
      <c r="G1" s="5" t="s">
        <v>50</v>
      </c>
      <c r="H1" s="5" t="s">
        <v>53</v>
      </c>
    </row>
    <row r="2" spans="1:8" x14ac:dyDescent="0.25">
      <c r="A2" s="1">
        <v>1</v>
      </c>
      <c r="B2" s="1" t="s">
        <v>19</v>
      </c>
      <c r="C2" s="1" t="s">
        <v>31</v>
      </c>
      <c r="D2" s="1" t="s">
        <v>30</v>
      </c>
      <c r="E2" s="1" t="s">
        <v>42</v>
      </c>
      <c r="F2" s="1"/>
      <c r="G2" s="1" t="s">
        <v>51</v>
      </c>
      <c r="H2" s="1" t="s">
        <v>13</v>
      </c>
    </row>
    <row r="3" spans="1:8" x14ac:dyDescent="0.25">
      <c r="A3" s="1">
        <v>2</v>
      </c>
      <c r="B3" s="1" t="s">
        <v>19</v>
      </c>
      <c r="C3" s="1" t="s">
        <v>32</v>
      </c>
      <c r="D3" s="1" t="s">
        <v>30</v>
      </c>
      <c r="E3" s="1" t="s">
        <v>42</v>
      </c>
      <c r="F3" s="1"/>
      <c r="G3" s="1" t="s">
        <v>51</v>
      </c>
      <c r="H3" s="1" t="s">
        <v>13</v>
      </c>
    </row>
    <row r="4" spans="1:8" x14ac:dyDescent="0.25">
      <c r="A4" s="1">
        <v>3</v>
      </c>
      <c r="B4" s="1" t="s">
        <v>19</v>
      </c>
      <c r="C4" s="1" t="s">
        <v>33</v>
      </c>
      <c r="D4" s="1" t="s">
        <v>30</v>
      </c>
      <c r="E4" s="1" t="s">
        <v>42</v>
      </c>
      <c r="F4" s="1"/>
      <c r="G4" s="1" t="s">
        <v>51</v>
      </c>
      <c r="H4" s="1" t="s">
        <v>13</v>
      </c>
    </row>
    <row r="5" spans="1:8" x14ac:dyDescent="0.25">
      <c r="A5" s="1">
        <v>4</v>
      </c>
      <c r="B5" s="1"/>
      <c r="C5" s="1"/>
      <c r="D5" s="1"/>
      <c r="E5" s="1"/>
      <c r="F5" s="1"/>
      <c r="G5" s="1"/>
      <c r="H5" s="1"/>
    </row>
    <row r="6" spans="1:8" x14ac:dyDescent="0.25">
      <c r="A6" s="1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>
        <v>6</v>
      </c>
      <c r="B7" s="1"/>
      <c r="C7" s="1"/>
      <c r="D7" s="1"/>
      <c r="E7" s="1"/>
      <c r="F7" s="1"/>
      <c r="G7" s="1"/>
      <c r="H7" s="1"/>
    </row>
    <row r="8" spans="1:8" x14ac:dyDescent="0.25">
      <c r="A8" s="1">
        <v>7</v>
      </c>
      <c r="B8" s="1"/>
      <c r="C8" s="1"/>
      <c r="D8" s="1"/>
      <c r="E8" s="1"/>
      <c r="F8" s="1"/>
      <c r="G8" s="1"/>
      <c r="H8" s="1"/>
    </row>
    <row r="9" spans="1:8" x14ac:dyDescent="0.25">
      <c r="A9" s="1">
        <v>8</v>
      </c>
      <c r="B9" s="1"/>
      <c r="C9" s="1"/>
      <c r="D9" s="1"/>
      <c r="E9" s="1"/>
      <c r="F9" s="1"/>
      <c r="G9" s="1"/>
      <c r="H9" s="1"/>
    </row>
    <row r="10" spans="1:8" x14ac:dyDescent="0.25">
      <c r="A10" s="1">
        <v>9</v>
      </c>
      <c r="B10" s="1"/>
      <c r="C10" s="1"/>
      <c r="D10" s="1"/>
      <c r="E10" s="1"/>
      <c r="F10" s="1"/>
      <c r="G10" s="1"/>
      <c r="H10" s="1"/>
    </row>
    <row r="11" spans="1:8" x14ac:dyDescent="0.25">
      <c r="A11" s="1">
        <v>10</v>
      </c>
      <c r="B11" s="1"/>
      <c r="C11" s="1"/>
      <c r="D11" s="1"/>
      <c r="E11" s="1"/>
      <c r="F11" s="1"/>
      <c r="G11" s="1"/>
      <c r="H11" s="1"/>
    </row>
    <row r="12" spans="1:8" x14ac:dyDescent="0.25">
      <c r="A12" s="1">
        <v>11</v>
      </c>
      <c r="B12" s="1"/>
      <c r="C12" s="1"/>
      <c r="D12" s="1"/>
      <c r="E12" s="1"/>
      <c r="F12" s="1"/>
      <c r="G12" s="1"/>
      <c r="H12" s="1"/>
    </row>
    <row r="13" spans="1:8" x14ac:dyDescent="0.25">
      <c r="A13" s="1">
        <v>12</v>
      </c>
      <c r="B13" s="1"/>
      <c r="C13" s="1"/>
      <c r="D13" s="1"/>
      <c r="E13" s="1"/>
      <c r="F13" s="1"/>
      <c r="G13" s="1"/>
      <c r="H13" s="1"/>
    </row>
    <row r="14" spans="1:8" x14ac:dyDescent="0.25">
      <c r="A14" s="1">
        <v>13</v>
      </c>
      <c r="B14" s="1"/>
      <c r="C14" s="1"/>
      <c r="D14" s="1"/>
      <c r="E14" s="1"/>
      <c r="F14" s="1"/>
      <c r="G14" s="1"/>
      <c r="H14" s="1"/>
    </row>
    <row r="15" spans="1:8" x14ac:dyDescent="0.25">
      <c r="A15" s="1">
        <v>14</v>
      </c>
      <c r="B15" s="1"/>
      <c r="C15" s="1"/>
      <c r="D15" s="1"/>
      <c r="E15" s="1"/>
      <c r="F15" s="1"/>
      <c r="G15" s="1"/>
      <c r="H15" s="1"/>
    </row>
    <row r="16" spans="1:8" x14ac:dyDescent="0.25">
      <c r="A16" s="1">
        <v>15</v>
      </c>
      <c r="B16" s="1"/>
      <c r="C16" s="1"/>
      <c r="D16" s="1"/>
      <c r="E16" s="1"/>
      <c r="F16" s="1"/>
      <c r="G16" s="1"/>
      <c r="H16" s="1"/>
    </row>
    <row r="17" spans="1:8" x14ac:dyDescent="0.25">
      <c r="A17" s="1">
        <v>16</v>
      </c>
      <c r="B17" s="1"/>
      <c r="C17" s="1"/>
      <c r="D17" s="1"/>
      <c r="E17" s="1"/>
      <c r="F17" s="1"/>
      <c r="G17" s="1"/>
      <c r="H17" s="1"/>
    </row>
    <row r="18" spans="1:8" x14ac:dyDescent="0.25">
      <c r="A18" s="1">
        <v>17</v>
      </c>
      <c r="B18" s="1"/>
      <c r="C18" s="1"/>
      <c r="D18" s="1"/>
      <c r="E18" s="1"/>
      <c r="F18" s="1"/>
      <c r="G18" s="1"/>
      <c r="H18" s="1"/>
    </row>
    <row r="19" spans="1:8" x14ac:dyDescent="0.25">
      <c r="A19" s="1">
        <v>18</v>
      </c>
      <c r="B19" s="1"/>
      <c r="C19" s="1"/>
      <c r="D19" s="1"/>
      <c r="E19" s="1"/>
      <c r="F19" s="1"/>
      <c r="G19" s="1"/>
      <c r="H19" s="1"/>
    </row>
    <row r="20" spans="1:8" x14ac:dyDescent="0.25">
      <c r="A20" s="1">
        <v>19</v>
      </c>
      <c r="B20" s="1"/>
      <c r="C20" s="1"/>
      <c r="D20" s="1"/>
      <c r="E20" s="1"/>
      <c r="F20" s="1"/>
      <c r="G20" s="1"/>
      <c r="H20" s="1"/>
    </row>
    <row r="21" spans="1:8" x14ac:dyDescent="0.25">
      <c r="A21" s="1">
        <v>20</v>
      </c>
      <c r="B21" s="1"/>
      <c r="C21" s="1"/>
      <c r="D21" s="1"/>
      <c r="E21" s="1"/>
      <c r="F21" s="1"/>
      <c r="G21" s="1"/>
      <c r="H21" s="1"/>
    </row>
    <row r="22" spans="1:8" x14ac:dyDescent="0.25">
      <c r="A22" s="1">
        <v>21</v>
      </c>
      <c r="B22" s="1"/>
      <c r="C22" s="1"/>
      <c r="D22" s="1"/>
      <c r="E22" s="1"/>
      <c r="F22" s="1"/>
      <c r="G22" s="1"/>
      <c r="H22" s="1"/>
    </row>
    <row r="23" spans="1:8" x14ac:dyDescent="0.25">
      <c r="A23" s="1">
        <v>22</v>
      </c>
      <c r="B23" s="1"/>
      <c r="C23" s="1"/>
      <c r="D23" s="1"/>
      <c r="E23" s="1"/>
      <c r="F23" s="1"/>
      <c r="G23" s="1"/>
      <c r="H23" s="1"/>
    </row>
    <row r="24" spans="1:8" x14ac:dyDescent="0.25">
      <c r="A24" s="1">
        <v>23</v>
      </c>
      <c r="B24" s="1"/>
      <c r="C24" s="1"/>
      <c r="D24" s="1"/>
      <c r="E24" s="1"/>
      <c r="F24" s="1"/>
      <c r="G24" s="1"/>
      <c r="H24" s="1"/>
    </row>
    <row r="25" spans="1:8" x14ac:dyDescent="0.25">
      <c r="A25" s="1">
        <v>24</v>
      </c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70E8848F-B2DE-4AE3-B519-87B8DDDC543F}">
            <xm:f>NOT(ISERROR(SEARCH(Database!$G$12,E2)))</xm:f>
            <xm:f>Database!$G$12</xm:f>
            <x14:dxf>
              <font>
                <color theme="0"/>
              </font>
              <fill>
                <patternFill patternType="solid">
                  <bgColor theme="8" tint="-0.24994659260841701"/>
                </patternFill>
              </fill>
            </x14:dxf>
          </x14:cfRule>
          <x14:cfRule type="containsText" priority="4" operator="containsText" id="{29E2A959-C2CC-4A0A-9F99-DF834996759B}">
            <xm:f>NOT(ISERROR(SEARCH(Database!$G$11,E2)))</xm:f>
            <xm:f>Database!$G$11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5" operator="containsText" id="{F9D9D1EC-3831-4745-A5D9-B5AAE7964D72}">
            <xm:f>NOT(ISERROR(SEARCH(Database!$G$10,E2)))</xm:f>
            <xm:f>Database!$G$10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6" operator="containsText" id="{D4A4E08F-1F69-4808-ACEA-7AC0F2E3CA79}">
            <xm:f>NOT(ISERROR(SEARCH(Database!$G$9,E2)))</xm:f>
            <xm:f>Database!$G$9</xm:f>
            <x14:dxf>
              <font>
                <color theme="0"/>
              </font>
              <fill>
                <patternFill patternType="solid">
                  <bgColor theme="5"/>
                </patternFill>
              </fill>
            </x14:dxf>
          </x14:cfRule>
          <x14:cfRule type="containsText" priority="7" operator="containsText" id="{74C62C4E-2FCA-44BF-8D7A-EC031B0AA7EB}">
            <xm:f>NOT(ISERROR(SEARCH(Database!$G$8,E2)))</xm:f>
            <xm:f>Database!$G$8</xm:f>
            <x14:dxf>
              <font>
                <color theme="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" operator="containsText" id="{9B04687F-C74C-45E8-9D7A-50C06D1BF7B7}">
            <xm:f>NOT(ISERROR(SEARCH(Database!$G$7,E2)))</xm:f>
            <xm:f>Database!$G$7</xm:f>
            <x14:dxf>
              <font>
                <color theme="0"/>
              </font>
              <fill>
                <patternFill>
                  <bgColor theme="0" tint="-0.499984740745262"/>
                </patternFill>
              </fill>
            </x14:dxf>
          </x14:cfRule>
          <x14:cfRule type="containsText" priority="9" operator="containsText" id="{58357892-57C7-409E-BD06-8F6DCB32292C}">
            <xm:f>NOT(ISERROR(SEARCH(Database!$G$6,E2)))</xm:f>
            <xm:f>Database!$G$6</xm:f>
            <x14:dxf>
              <font>
                <color theme="0"/>
              </font>
              <fill>
                <patternFill>
                  <bgColor theme="5" tint="-0.499984740745262"/>
                </patternFill>
              </fill>
            </x14:dxf>
          </x14:cfRule>
          <x14:cfRule type="containsText" priority="10" operator="containsText" id="{CC165AD2-D6EE-478D-8714-8C38D8C29709}">
            <xm:f>NOT(ISERROR(SEARCH(Database!$G$5,E2)))</xm:f>
            <xm:f>Database!$G$5</xm:f>
            <x14:dxf>
              <font>
                <color theme="0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" operator="containsText" id="{0ACF03C1-82A1-452E-8E92-01BB27B95E4E}">
            <xm:f>NOT(ISERROR(SEARCH(Database!$G$4,E2)))</xm:f>
            <xm:f>Database!$G$4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12" operator="containsText" id="{67E97F24-77D6-4E0C-BB50-64E316DFBDDE}">
            <xm:f>NOT(ISERROR(SEARCH(Database!$G$3,E2)))</xm:f>
            <xm:f>Database!$G$3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13" operator="containsText" id="{A26413EF-A269-48C4-A39E-AF3D907B4A5F}">
            <xm:f>NOT(ISERROR(SEARCH(Database!$G$2,E2)))</xm:f>
            <xm:f>Database!$G$2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m:sqref>E2:E25</xm:sqref>
        </x14:conditionalFormatting>
        <x14:conditionalFormatting xmlns:xm="http://schemas.microsoft.com/office/excel/2006/main">
          <x14:cfRule type="containsText" priority="1" operator="containsText" id="{4E648FEE-85C0-49F1-8631-CF227A468975}">
            <xm:f>NOT(ISERROR(SEARCH(Database!$K$3,H2)))</xm:f>
            <xm:f>Database!$K$3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A493C22D-3A9A-4040-82FE-98F53AC0C181}">
            <xm:f>NOT(ISERROR(SEARCH(Database!$K$2,H2)))</xm:f>
            <xm:f>Database!$K$2</xm:f>
            <x14:dxf>
              <font>
                <b/>
                <i val="0"/>
                <color theme="1"/>
              </font>
              <fill>
                <patternFill>
                  <bgColor rgb="FF00B050"/>
                </patternFill>
              </fill>
            </x14:dxf>
          </x14:cfRule>
          <xm:sqref>H2:H25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D26E727-49AA-4603-897D-6C2631382642}">
          <x14:formula1>
            <xm:f>Database!$K$2:$K$3</xm:f>
          </x14:formula1>
          <xm:sqref>H2:H25</xm:sqref>
        </x14:dataValidation>
        <x14:dataValidation type="list" allowBlank="1" showInputMessage="1" showErrorMessage="1" xr:uid="{2DA4AA39-4A33-4A3F-AD08-384EA7A03415}">
          <x14:formula1>
            <xm:f>Database!$I$2:$I$3</xm:f>
          </x14:formula1>
          <xm:sqref>G2:G25</xm:sqref>
        </x14:dataValidation>
        <x14:dataValidation type="list" allowBlank="1" showInputMessage="1" showErrorMessage="1" xr:uid="{E23B3856-10EB-4580-8AA7-6CF5F3575385}">
          <x14:formula1>
            <xm:f>Database!$G$2:$G$12</xm:f>
          </x14:formula1>
          <xm:sqref>E2:E25</xm:sqref>
        </x14:dataValidation>
        <x14:dataValidation type="list" allowBlank="1" showInputMessage="1" showErrorMessage="1" xr:uid="{7B83C018-C39C-4167-8A8D-C2D4C38B2FF1}">
          <x14:formula1>
            <xm:f>Database!$C$2:$C$8</xm:f>
          </x14:formula1>
          <xm:sqref>D2:D25</xm:sqref>
        </x14:dataValidation>
        <x14:dataValidation type="list" allowBlank="1" showInputMessage="1" showErrorMessage="1" xr:uid="{D965424C-32D1-4ED1-848D-1F2C1C98F93E}">
          <x14:formula1>
            <xm:f>Database!$E$2:$E$6</xm:f>
          </x14:formula1>
          <xm:sqref>C2:C25</xm:sqref>
        </x14:dataValidation>
        <x14:dataValidation type="list" allowBlank="1" showInputMessage="1" showErrorMessage="1" xr:uid="{7D25CBAC-3232-4711-9978-6E46E1080ED2}">
          <x14:formula1>
            <xm:f>Database!$A$2:$A$6</xm:f>
          </x14:formula1>
          <xm:sqref>B27:B30 B2:B25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98DC-20D2-49A7-942C-F1D00DB44477}">
  <dimension ref="A1:K12"/>
  <sheetViews>
    <sheetView workbookViewId="0">
      <selection activeCell="E12" sqref="E12"/>
    </sheetView>
  </sheetViews>
  <sheetFormatPr defaultRowHeight="15" x14ac:dyDescent="0.25"/>
  <cols>
    <col min="1" max="1" width="13.85546875" bestFit="1" customWidth="1"/>
    <col min="5" max="5" width="28" bestFit="1" customWidth="1"/>
    <col min="7" max="7" width="27.42578125" bestFit="1" customWidth="1"/>
  </cols>
  <sheetData>
    <row r="1" spans="1:11" x14ac:dyDescent="0.25">
      <c r="A1" s="4" t="s">
        <v>16</v>
      </c>
      <c r="C1" s="4" t="s">
        <v>23</v>
      </c>
      <c r="E1" s="4" t="s">
        <v>22</v>
      </c>
      <c r="G1" s="4" t="s">
        <v>37</v>
      </c>
      <c r="I1" s="4" t="s">
        <v>50</v>
      </c>
    </row>
    <row r="2" spans="1:11" x14ac:dyDescent="0.25">
      <c r="A2" t="s">
        <v>17</v>
      </c>
      <c r="C2" t="s">
        <v>24</v>
      </c>
      <c r="E2" t="s">
        <v>31</v>
      </c>
      <c r="G2" t="s">
        <v>38</v>
      </c>
      <c r="I2" t="s">
        <v>51</v>
      </c>
      <c r="K2" t="s">
        <v>13</v>
      </c>
    </row>
    <row r="3" spans="1:11" x14ac:dyDescent="0.25">
      <c r="A3" t="s">
        <v>18</v>
      </c>
      <c r="C3" t="s">
        <v>25</v>
      </c>
      <c r="E3" t="s">
        <v>32</v>
      </c>
      <c r="G3" t="s">
        <v>39</v>
      </c>
      <c r="I3" t="s">
        <v>52</v>
      </c>
      <c r="K3" t="s">
        <v>54</v>
      </c>
    </row>
    <row r="4" spans="1:11" x14ac:dyDescent="0.25">
      <c r="A4" t="s">
        <v>19</v>
      </c>
      <c r="C4" t="s">
        <v>26</v>
      </c>
      <c r="E4" t="s">
        <v>33</v>
      </c>
      <c r="G4" t="s">
        <v>40</v>
      </c>
    </row>
    <row r="5" spans="1:11" x14ac:dyDescent="0.25">
      <c r="A5" t="s">
        <v>20</v>
      </c>
      <c r="C5" t="s">
        <v>27</v>
      </c>
      <c r="E5" t="s">
        <v>34</v>
      </c>
      <c r="G5" t="s">
        <v>41</v>
      </c>
    </row>
    <row r="6" spans="1:11" x14ac:dyDescent="0.25">
      <c r="A6" t="s">
        <v>21</v>
      </c>
      <c r="C6" t="s">
        <v>28</v>
      </c>
      <c r="E6" t="s">
        <v>35</v>
      </c>
      <c r="G6" t="s">
        <v>43</v>
      </c>
    </row>
    <row r="7" spans="1:11" x14ac:dyDescent="0.25">
      <c r="C7" t="s">
        <v>29</v>
      </c>
      <c r="E7" t="s">
        <v>55</v>
      </c>
      <c r="G7" t="s">
        <v>44</v>
      </c>
    </row>
    <row r="8" spans="1:11" x14ac:dyDescent="0.25">
      <c r="C8" t="s">
        <v>30</v>
      </c>
      <c r="E8" t="s">
        <v>56</v>
      </c>
      <c r="G8" t="s">
        <v>45</v>
      </c>
    </row>
    <row r="9" spans="1:11" x14ac:dyDescent="0.25">
      <c r="E9" t="s">
        <v>57</v>
      </c>
      <c r="G9" t="s">
        <v>46</v>
      </c>
    </row>
    <row r="10" spans="1:11" x14ac:dyDescent="0.25">
      <c r="E10" t="s">
        <v>58</v>
      </c>
      <c r="G10" t="s">
        <v>47</v>
      </c>
    </row>
    <row r="11" spans="1:11" x14ac:dyDescent="0.25">
      <c r="E11" t="s">
        <v>59</v>
      </c>
      <c r="G11" t="s">
        <v>48</v>
      </c>
    </row>
    <row r="12" spans="1:11" x14ac:dyDescent="0.25">
      <c r="G12" t="s">
        <v>42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2D4FFA736D74F8AB99F1DA13D19E4" ma:contentTypeVersion="4" ma:contentTypeDescription="Create a new document." ma:contentTypeScope="" ma:versionID="20358db6a53c4bc2875e14ff32e177fa">
  <xsd:schema xmlns:xsd="http://www.w3.org/2001/XMLSchema" xmlns:xs="http://www.w3.org/2001/XMLSchema" xmlns:p="http://schemas.microsoft.com/office/2006/metadata/properties" xmlns:ns3="1707955f-11be-4cf2-a6f6-7cc18f1d57f5" targetNamespace="http://schemas.microsoft.com/office/2006/metadata/properties" ma:root="true" ma:fieldsID="adf18cb8e18d6a7cb1f0fe6c4b04df74" ns3:_="">
    <xsd:import namespace="1707955f-11be-4cf2-a6f6-7cc18f1d57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7955f-11be-4cf2-a6f6-7cc18f1d57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1DE15C-7835-4C44-8173-688BB2A85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07955f-11be-4cf2-a6f6-7cc18f1d5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21BA99-F567-4D42-A15C-A287A093CE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E20382-1037-4F4D-864C-4CE1B3969061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1707955f-11be-4cf2-a6f6-7cc18f1d57f5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Devices</vt:lpstr>
      <vt:lpstr>ToR - 1</vt:lpstr>
      <vt:lpstr>ToR - 2</vt:lpstr>
      <vt:lpstr>BE - 1</vt:lpstr>
      <vt:lpstr>BE - 2</vt:lpstr>
      <vt:lpstr>Mgmt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Taaffe - STUDENT</dc:creator>
  <cp:lastModifiedBy>Joseph Taaffe - STUDENT</cp:lastModifiedBy>
  <dcterms:created xsi:type="dcterms:W3CDTF">2026-02-17T16:02:32Z</dcterms:created>
  <dcterms:modified xsi:type="dcterms:W3CDTF">2026-02-22T18:42:24Z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0x0101002DE2D4FFA736D74F8AB99F1DA13D19E4</vt:lpwstr>
  </property>
</Properties>
</file>