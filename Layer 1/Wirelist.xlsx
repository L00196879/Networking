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tworking\Layer 1\"/>
    </mc:Choice>
  </mc:AlternateContent>
  <xr:revisionPtr revIDLastSave="0" documentId="8_{8411F944-3D58-49DA-8261-1D2F6E1143EF}" xr6:coauthVersionLast="47" xr6:coauthVersionMax="47" xr10:uidLastSave="{00000000-0000-0000-0000-000000000000}"/>
  <bookViews>
    <workbookView xWindow="-120" yWindow="-120" windowWidth="38640" windowHeight="21120" xr2:uid="{8141A5A6-7DCF-4ED0-B000-D2E35290A8D2}"/>
  </bookViews>
  <sheets>
    <sheet name="Summary" sheetId="1" r:id="rId1"/>
    <sheet name="FD1A" sheetId="2" r:id="rId2"/>
    <sheet name="BD1" sheetId="3" r:id="rId3"/>
    <sheet name="C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5" i="2"/>
  <c r="D4" i="2"/>
  <c r="N14" i="4"/>
  <c r="N16" i="4" s="1"/>
  <c r="N19" i="4"/>
  <c r="N20" i="4" s="1"/>
  <c r="P8" i="2"/>
  <c r="M5" i="3"/>
  <c r="N8" i="4"/>
  <c r="N9" i="4" s="1"/>
  <c r="N3" i="4"/>
  <c r="N5" i="4" s="1"/>
  <c r="I1" i="4"/>
  <c r="H1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M3" i="3"/>
  <c r="H1" i="3"/>
  <c r="M8" i="3"/>
  <c r="M9" i="3" s="1"/>
  <c r="F9" i="4"/>
  <c r="F10" i="4"/>
  <c r="F11" i="4"/>
  <c r="F12" i="4"/>
  <c r="G12" i="4"/>
  <c r="G4" i="4"/>
  <c r="G5" i="4"/>
  <c r="G6" i="4"/>
  <c r="G7" i="4"/>
  <c r="G8" i="4"/>
  <c r="G9" i="4"/>
  <c r="G10" i="4"/>
  <c r="G11" i="4"/>
  <c r="G3" i="4"/>
  <c r="F8" i="4"/>
  <c r="F7" i="4"/>
  <c r="F6" i="4"/>
  <c r="F5" i="4"/>
  <c r="F4" i="4"/>
  <c r="F3" i="4"/>
  <c r="G5" i="3"/>
  <c r="G6" i="3"/>
  <c r="G7" i="3"/>
  <c r="G8" i="3"/>
  <c r="F5" i="3"/>
  <c r="F6" i="3"/>
  <c r="F7" i="3"/>
  <c r="F8" i="3"/>
  <c r="G4" i="3"/>
  <c r="F4" i="3"/>
  <c r="G3" i="3"/>
  <c r="F3" i="3"/>
  <c r="P32" i="2"/>
  <c r="P31" i="2"/>
  <c r="P30" i="2"/>
  <c r="P27" i="2"/>
  <c r="P25" i="2"/>
  <c r="P24" i="2"/>
  <c r="P23" i="2"/>
  <c r="P22" i="2"/>
  <c r="P20" i="2"/>
  <c r="P19" i="2"/>
  <c r="P18" i="2"/>
  <c r="L1" i="2"/>
  <c r="M1" i="2"/>
  <c r="K1" i="2"/>
  <c r="J1" i="2"/>
  <c r="H1" i="2"/>
  <c r="P6" i="2" s="1"/>
  <c r="P11" i="2"/>
  <c r="P12" i="2" s="1"/>
  <c r="N21" i="4" l="1"/>
  <c r="N10" i="4"/>
  <c r="M10" i="3"/>
  <c r="P13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<sst xmlns="http://schemas.openxmlformats.org/spreadsheetml/2006/main" count="206" uniqueCount="88">
  <si>
    <t>Site</t>
  </si>
  <si>
    <t>Buildings</t>
  </si>
  <si>
    <t>Floors</t>
  </si>
  <si>
    <t>A</t>
  </si>
  <si>
    <t>B</t>
  </si>
  <si>
    <t>Forecourt</t>
  </si>
  <si>
    <t>Supermarket</t>
  </si>
  <si>
    <t>Building</t>
  </si>
  <si>
    <t xml:space="preserve">Floor </t>
  </si>
  <si>
    <t>Index</t>
  </si>
  <si>
    <t>001</t>
  </si>
  <si>
    <t>Label</t>
  </si>
  <si>
    <t>Location</t>
  </si>
  <si>
    <t>Counter</t>
  </si>
  <si>
    <t>002</t>
  </si>
  <si>
    <t>Symbol</t>
  </si>
  <si>
    <t>Function</t>
  </si>
  <si>
    <t>Length</t>
  </si>
  <si>
    <t>POS Terminal</t>
  </si>
  <si>
    <t>CC Machine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</si>
  <si>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</si>
  <si>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</si>
  <si>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</si>
  <si>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</si>
  <si>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</si>
  <si>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</si>
  <si>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</si>
  <si>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</si>
  <si>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</si>
  <si>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</si>
  <si>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</si>
  <si>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</si>
  <si>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</si>
  <si>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Phone</t>
  </si>
  <si>
    <t>Ceiling</t>
  </si>
  <si>
    <t>Security Camera</t>
  </si>
  <si>
    <t>Wireless Access Point</t>
  </si>
  <si>
    <t>Office</t>
  </si>
  <si>
    <t>Manager PC</t>
  </si>
  <si>
    <t>Printer</t>
  </si>
  <si>
    <t>016</t>
  </si>
  <si>
    <t>017</t>
  </si>
  <si>
    <t>Total cable length</t>
  </si>
  <si>
    <t>Box</t>
  </si>
  <si>
    <t>No of boxes</t>
  </si>
  <si>
    <t>Net per box</t>
  </si>
  <si>
    <t>VAT Rate</t>
  </si>
  <si>
    <t>VAT Amount</t>
  </si>
  <si>
    <t>Gross</t>
  </si>
  <si>
    <t>Total CAT6 cost</t>
  </si>
  <si>
    <t>Totals</t>
  </si>
  <si>
    <t>Switch</t>
  </si>
  <si>
    <t>POTS</t>
  </si>
  <si>
    <t>10MB</t>
  </si>
  <si>
    <t>100MB</t>
  </si>
  <si>
    <t>1000MB</t>
  </si>
  <si>
    <t>Total TO</t>
  </si>
  <si>
    <t>Net per TO</t>
  </si>
  <si>
    <t>Total TO Cost</t>
  </si>
  <si>
    <t>10Mb/s</t>
  </si>
  <si>
    <t>100Mb/s</t>
  </si>
  <si>
    <t>1Gb/s</t>
  </si>
  <si>
    <t>Total</t>
  </si>
  <si>
    <t>Port per switch</t>
  </si>
  <si>
    <t>Number of switches</t>
  </si>
  <si>
    <t>Net per Switch</t>
  </si>
  <si>
    <t>Total Switch Cost</t>
  </si>
  <si>
    <t>From</t>
  </si>
  <si>
    <t>To</t>
  </si>
  <si>
    <t>type</t>
  </si>
  <si>
    <t>1A</t>
  </si>
  <si>
    <t>1B</t>
  </si>
  <si>
    <t>MMF</t>
  </si>
  <si>
    <t>Cores</t>
  </si>
  <si>
    <t>Pairs</t>
  </si>
  <si>
    <t>Cable</t>
  </si>
  <si>
    <t>Cable Number</t>
  </si>
  <si>
    <t>CD</t>
  </si>
  <si>
    <t>Test &amp; Service</t>
  </si>
  <si>
    <t>Battery Building 1</t>
  </si>
  <si>
    <t>Battery Building 2</t>
  </si>
  <si>
    <t>Substation 1</t>
  </si>
  <si>
    <t>Substation 2</t>
  </si>
  <si>
    <t>Car Wash</t>
  </si>
  <si>
    <t>BC</t>
  </si>
  <si>
    <t>Length MMF</t>
  </si>
  <si>
    <t>Length BC</t>
  </si>
  <si>
    <t>Total MMF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</si>
</sst>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€&quot;#,##0.00"/>
    <numFmt numFmtId="165" formatCode="0.0%"/>
    <numFmt numFmtId="166" formatCode="&quot;€&quot;#,##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5" tint="0.39997558519241921"/>
        <bgColor indexed="65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5" fillId="3" borderId="0" applyNumberFormat="0" applyBorder="0" applyAlignment="0" applyProtection="0"/>
    <xf numFmtId="0" fontId="1" fillId="4" borderId="0" applyNumberFormat="0" applyBorder="0" applyAlignment="0" applyProtection="0"/>
    <xf numFmtId="0" fontId="5" fillId="5" borderId="0" applyNumberFormat="0" applyBorder="0" applyAlignment="0" applyProtection="0"/>
    <xf numFmtId="0" fontId="1" fillId="6" borderId="0" applyNumberFormat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0" fillId="0" borderId="0" xfId="0" applyAlignment="1">
      <alignment textRotation="90"/>
    </xf>
    <xf numFmtId="0" fontId="0" fillId="0" borderId="0" xfId="0" quotePrefix="1" applyAlignment="1">
      <alignment horizontal="center"/>
    </xf>
    <xf numFmtId="0" fontId="0" fillId="0" borderId="0" xfId="0" applyAlignment="1">
      <alignment horizontal="left" textRotation="90"/>
    </xf>
    <xf numFmtId="0" fontId="0" fillId="0" borderId="0" xfId="0" applyAlignment="1">
      <alignment horizontal="left"/>
    </xf>
    <xf numFmtId="0" fontId="1" fillId="4" borderId="1" xfId="3" applyBorder="1" applyAlignment="1">
      <alignment horizontal="left"/>
    </xf>
    <xf numFmtId="0" fontId="1" fillId="4" borderId="2" xfId="3" applyBorder="1" applyAlignment="1">
      <alignment horizontal="center"/>
    </xf>
    <xf numFmtId="0" fontId="1" fillId="4" borderId="3" xfId="3" applyBorder="1" applyAlignment="1">
      <alignment horizontal="left"/>
    </xf>
    <xf numFmtId="0" fontId="1" fillId="4" borderId="4" xfId="3" applyBorder="1" applyAlignment="1">
      <alignment horizontal="center"/>
    </xf>
    <xf numFmtId="164" fontId="1" fillId="4" borderId="4" xfId="3" applyNumberFormat="1" applyBorder="1" applyAlignment="1">
      <alignment horizontal="center"/>
    </xf>
    <xf numFmtId="165" fontId="1" fillId="4" borderId="4" xfId="3" applyNumberFormat="1" applyBorder="1" applyAlignment="1">
      <alignment horizontal="center"/>
    </xf>
    <xf numFmtId="0" fontId="4" fillId="4" borderId="5" xfId="3" applyFont="1" applyBorder="1" applyAlignment="1">
      <alignment horizontal="left"/>
    </xf>
    <xf numFmtId="164" fontId="4" fillId="4" borderId="6" xfId="3" applyNumberFormat="1" applyFont="1" applyBorder="1" applyAlignment="1">
      <alignment horizontal="center"/>
    </xf>
    <xf numFmtId="0" fontId="2" fillId="2" borderId="0" xfId="1" applyAlignment="1">
      <alignment horizontal="center"/>
    </xf>
    <xf numFmtId="0" fontId="2" fillId="2" borderId="0" xfId="1" applyAlignment="1">
      <alignment horizontal="left"/>
    </xf>
    <xf numFmtId="0" fontId="2" fillId="2" borderId="0" xfId="1"/>
    <xf numFmtId="0" fontId="5" fillId="3" borderId="1" xfId="2" applyBorder="1" applyAlignment="1">
      <alignment horizontal="left"/>
    </xf>
    <xf numFmtId="0" fontId="5" fillId="3" borderId="2" xfId="2" applyBorder="1" applyAlignment="1">
      <alignment horizontal="center"/>
    </xf>
    <xf numFmtId="0" fontId="5" fillId="3" borderId="3" xfId="2" applyBorder="1" applyAlignment="1">
      <alignment horizontal="left"/>
    </xf>
    <xf numFmtId="164" fontId="5" fillId="3" borderId="4" xfId="2" applyNumberFormat="1" applyBorder="1" applyAlignment="1">
      <alignment horizontal="center"/>
    </xf>
    <xf numFmtId="165" fontId="5" fillId="3" borderId="4" xfId="2" applyNumberFormat="1" applyBorder="1" applyAlignment="1">
      <alignment horizontal="center"/>
    </xf>
    <xf numFmtId="0" fontId="3" fillId="3" borderId="5" xfId="2" applyFont="1" applyBorder="1" applyAlignment="1">
      <alignment horizontal="left"/>
    </xf>
    <xf numFmtId="166" fontId="3" fillId="3" borderId="6" xfId="2" applyNumberFormat="1" applyFont="1" applyBorder="1" applyAlignment="1">
      <alignment horizontal="center"/>
    </xf>
    <xf numFmtId="0" fontId="5" fillId="5" borderId="1" xfId="4" applyBorder="1" applyAlignment="1">
      <alignment horizontal="left"/>
    </xf>
    <xf numFmtId="0" fontId="5" fillId="5" borderId="2" xfId="4" applyBorder="1" applyAlignment="1">
      <alignment horizontal="center"/>
    </xf>
    <xf numFmtId="0" fontId="5" fillId="5" borderId="3" xfId="4" applyBorder="1" applyAlignment="1">
      <alignment horizontal="left"/>
    </xf>
    <xf numFmtId="0" fontId="5" fillId="5" borderId="4" xfId="4" applyBorder="1" applyAlignment="1">
      <alignment horizontal="center"/>
    </xf>
    <xf numFmtId="164" fontId="5" fillId="5" borderId="4" xfId="4" applyNumberFormat="1" applyBorder="1" applyAlignment="1">
      <alignment horizontal="center"/>
    </xf>
    <xf numFmtId="0" fontId="3" fillId="5" borderId="5" xfId="4" applyFont="1" applyBorder="1" applyAlignment="1">
      <alignment horizontal="left"/>
    </xf>
    <xf numFmtId="166" fontId="3" fillId="5" borderId="6" xfId="4" applyNumberFormat="1" applyFont="1" applyBorder="1" applyAlignment="1">
      <alignment horizontal="center"/>
    </xf>
    <xf numFmtId="0" fontId="1" fillId="6" borderId="1" xfId="5" applyBorder="1" applyAlignment="1">
      <alignment horizontal="left"/>
    </xf>
    <xf numFmtId="0" fontId="1" fillId="6" borderId="2" xfId="5" applyBorder="1" applyAlignment="1">
      <alignment horizontal="center"/>
    </xf>
    <xf numFmtId="0" fontId="1" fillId="6" borderId="3" xfId="5" applyBorder="1" applyAlignment="1">
      <alignment horizontal="left"/>
    </xf>
    <xf numFmtId="0" fontId="1" fillId="6" borderId="4" xfId="5" applyBorder="1" applyAlignment="1">
      <alignment horizontal="center"/>
    </xf>
    <xf numFmtId="164" fontId="1" fillId="6" borderId="4" xfId="5" applyNumberFormat="1" applyBorder="1" applyAlignment="1">
      <alignment horizontal="center"/>
    </xf>
    <xf numFmtId="165" fontId="1" fillId="6" borderId="4" xfId="5" applyNumberFormat="1" applyBorder="1" applyAlignment="1">
      <alignment horizontal="center"/>
    </xf>
    <xf numFmtId="0" fontId="4" fillId="6" borderId="5" xfId="5" applyFont="1" applyBorder="1" applyAlignment="1">
      <alignment horizontal="left"/>
    </xf>
    <xf numFmtId="164" fontId="4" fillId="6" borderId="6" xfId="5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6">
    <cellStyle name="60% - Accent2" xfId="5" builtinId="36"/>
    <cellStyle name="60% - Accent3" xfId="3" builtinId="40"/>
    <cellStyle name="Accent1" xfId="2" builtinId="29"/>
    <cellStyle name="Accent5" xfId="4" builtinId="45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F3972-6E27-44EB-9AB0-44EF95B0DAE7}">
  <dimension ref="A1:I5"/>
  <sheetViews>
    <sheetView tabSelected="1" workbookViewId="0">
      <selection activeCell="H19" sqref="H19"/>
    </sheetView>
  </sheetViews>
  <sheetFormatPr defaultRowHeight="15" x14ac:dyDescent="0.25"/>
  <cols>
    <col min="1" max="16384" width="9.140625" style="1"/>
  </cols>
  <sheetData>
    <row r="1" spans="1:9" x14ac:dyDescent="0.25">
      <c r="A1" s="1" t="s">
        <v>0</v>
      </c>
    </row>
    <row r="2" spans="1:9" s="2" customFormat="1" ht="85.5" x14ac:dyDescent="0.25">
      <c r="B2" s="2" t="s">
        <v>5</v>
      </c>
      <c r="C2" s="2" t="s">
        <v>6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</row>
    <row r="3" spans="1:9" x14ac:dyDescent="0.25">
      <c r="A3" s="1" t="s">
        <v>1</v>
      </c>
      <c r="B3" s="1">
        <v>1</v>
      </c>
      <c r="C3" s="1">
        <v>2</v>
      </c>
      <c r="D3" s="1">
        <v>3</v>
      </c>
      <c r="E3" s="1">
        <v>5</v>
      </c>
      <c r="F3" s="1">
        <v>6</v>
      </c>
      <c r="G3" s="1">
        <v>7</v>
      </c>
      <c r="H3" s="1">
        <v>8</v>
      </c>
      <c r="I3" s="1">
        <v>9</v>
      </c>
    </row>
    <row r="4" spans="1:9" x14ac:dyDescent="0.25">
      <c r="A4" s="40" t="s">
        <v>2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</row>
    <row r="5" spans="1:9" x14ac:dyDescent="0.25">
      <c r="A5" s="40"/>
      <c r="B5" s="1" t="s">
        <v>4</v>
      </c>
    </row>
  </sheetData>
  <mergeCells count="1">
    <mergeCell ref="A4:A5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D37AA-F4A2-4183-B02B-F27D864BD493}">
  <dimension ref="A1:Q32"/>
  <sheetViews>
    <sheetView workbookViewId="0">
      <pane ySplit="3" topLeftCell="A4" activePane="bottomLeft" state="frozen"/>
      <selection pane="bottomLeft" activeCell="E31" sqref="E31"/>
    </sheetView>
  </sheetViews>
  <sheetFormatPr defaultRowHeight="15" x14ac:dyDescent="0.25"/>
  <cols>
    <col min="1" max="3" width="9.140625" style="1"/>
    <col min="4" max="4" width="9" style="1" bestFit="1" customWidth="1"/>
    <col min="5" max="6" width="9.140625" style="1"/>
    <col min="7" max="7" width="20.42578125" style="1" bestFit="1" customWidth="1"/>
    <col min="8" max="14" width="9.140625" style="1"/>
    <col min="15" max="15" width="18.7109375" style="6" bestFit="1" customWidth="1"/>
    <col min="16" max="17" width="9.140625" style="1"/>
  </cols>
  <sheetData>
    <row r="1" spans="1:17" s="17" customFormat="1" x14ac:dyDescent="0.25">
      <c r="A1" s="15" t="s">
        <v>50</v>
      </c>
      <c r="B1" s="15"/>
      <c r="C1" s="15"/>
      <c r="D1" s="15"/>
      <c r="E1" s="15"/>
      <c r="F1" s="15"/>
      <c r="G1" s="15"/>
      <c r="H1" s="15">
        <f>SUM(H4:H116)</f>
        <v>605</v>
      </c>
      <c r="I1" s="15"/>
      <c r="J1" s="15">
        <f>SUM(J4:J68)</f>
        <v>5</v>
      </c>
      <c r="K1" s="15">
        <f t="shared" ref="K1" si="0">SUM(K4:K68)</f>
        <v>8</v>
      </c>
      <c r="L1" s="15">
        <f>SUM(L4:L68)</f>
        <v>2</v>
      </c>
      <c r="M1" s="15">
        <f>SUM(M4:M68)</f>
        <v>2</v>
      </c>
      <c r="N1" s="15"/>
      <c r="O1" s="16"/>
      <c r="P1" s="15"/>
      <c r="Q1" s="15"/>
    </row>
    <row r="2" spans="1:17" x14ac:dyDescent="0.25">
      <c r="J2" s="41" t="s">
        <v>51</v>
      </c>
      <c r="K2" s="41"/>
      <c r="L2" s="41"/>
      <c r="M2" s="41"/>
    </row>
    <row r="3" spans="1:17" s="3" customFormat="1" ht="45.75" x14ac:dyDescent="0.25">
      <c r="A3" s="2" t="s">
        <v>7</v>
      </c>
      <c r="B3" s="2" t="s">
        <v>8</v>
      </c>
      <c r="C3" s="2" t="s">
        <v>9</v>
      </c>
      <c r="D3" s="2" t="s">
        <v>11</v>
      </c>
      <c r="E3" s="2" t="s">
        <v>12</v>
      </c>
      <c r="F3" s="2" t="s">
        <v>15</v>
      </c>
      <c r="G3" s="2" t="s">
        <v>16</v>
      </c>
      <c r="H3" s="2" t="s">
        <v>17</v>
      </c>
      <c r="I3" s="2"/>
      <c r="J3" s="2" t="s">
        <v>53</v>
      </c>
      <c r="K3" s="2" t="s">
        <v>54</v>
      </c>
      <c r="L3" s="2" t="s">
        <v>55</v>
      </c>
      <c r="M3" s="2" t="s">
        <v>52</v>
      </c>
      <c r="N3" s="2"/>
      <c r="O3" s="5"/>
      <c r="P3" s="2"/>
      <c r="Q3" s="2"/>
    </row>
    <row r="4" spans="1:17" x14ac:dyDescent="0.25">
      <c r="A4" s="1">
        <v>1</v>
      </c>
      <c r="B4" s="1" t="s">
        <v>3</v>
      </c>
      <c r="C4" s="4" t="s">
        <v>10</v>
      </c>
      <c r="D4" s="1" t="str">
        <f>A4&amp;B4&amp;C4</f>
        <v>1A001</v>
      </c>
      <c r="E4" s="1" t="s">
        <v>13</v>
      </c>
      <c r="F4" s="1" t="e" vm="1">
        <v>#VALUE!</v>
      </c>
      <c r="G4" s="1" t="s">
        <v>18</v>
      </c>
      <c r="H4" s="1">
        <v>50</v>
      </c>
      <c r="K4" s="1">
        <v>1</v>
      </c>
    </row>
    <row r="5" spans="1:17" ht="15.75" thickBot="1" x14ac:dyDescent="0.3">
      <c r="A5" s="1">
        <v>1</v>
      </c>
      <c r="B5" s="1" t="s">
        <v>3</v>
      </c>
      <c r="C5" s="4" t="s">
        <v>14</v>
      </c>
      <c r="D5" s="1" t="str">
        <f>"FD:"&amp;A5&amp;B5&amp;C5</f>
        <v>FD:1A002</v>
      </c>
      <c r="E5" s="1" t="s">
        <v>13</v>
      </c>
      <c r="F5" s="1" t="e" vm="1">
        <v>#VALUE!</v>
      </c>
      <c r="G5" s="1" t="s">
        <v>19</v>
      </c>
      <c r="H5" s="1">
        <v>50</v>
      </c>
      <c r="J5" s="1">
        <v>1</v>
      </c>
    </row>
    <row r="6" spans="1:17" x14ac:dyDescent="0.25">
      <c r="A6" s="1">
        <v>1</v>
      </c>
      <c r="B6" s="1" t="s">
        <v>3</v>
      </c>
      <c r="C6" s="4" t="s">
        <v>20</v>
      </c>
      <c r="D6" s="1" t="str">
        <f t="shared" ref="D6:D20" si="1">"FD:"&amp;A6&amp;B6&amp;C6</f>
        <v>FD:1A003</v>
      </c>
      <c r="E6" s="1" t="s">
        <v>13</v>
      </c>
      <c r="F6" s="1" t="e" vm="1">
        <v>#VALUE!</v>
      </c>
      <c r="G6" s="1" t="s">
        <v>18</v>
      </c>
      <c r="H6" s="1">
        <v>45</v>
      </c>
      <c r="K6" s="1">
        <v>1</v>
      </c>
      <c r="O6" s="7" t="s">
        <v>42</v>
      </c>
      <c r="P6" s="8">
        <f>H1</f>
        <v>605</v>
      </c>
    </row>
    <row r="7" spans="1:17" x14ac:dyDescent="0.25">
      <c r="A7" s="1">
        <v>1</v>
      </c>
      <c r="B7" s="1" t="s">
        <v>3</v>
      </c>
      <c r="C7" s="4" t="s">
        <v>21</v>
      </c>
      <c r="D7" s="1" t="str">
        <f t="shared" si="1"/>
        <v>FD:1A004</v>
      </c>
      <c r="E7" s="1" t="s">
        <v>13</v>
      </c>
      <c r="F7" s="1" t="e" vm="1">
        <v>#VALUE!</v>
      </c>
      <c r="G7" s="1" t="s">
        <v>19</v>
      </c>
      <c r="H7" s="1">
        <v>45</v>
      </c>
      <c r="J7" s="1">
        <v>1</v>
      </c>
      <c r="O7" s="9" t="s">
        <v>43</v>
      </c>
      <c r="P7" s="10">
        <v>300</v>
      </c>
    </row>
    <row r="8" spans="1:17" x14ac:dyDescent="0.25">
      <c r="A8" s="1">
        <v>1</v>
      </c>
      <c r="B8" s="1" t="s">
        <v>3</v>
      </c>
      <c r="C8" s="4" t="s">
        <v>22</v>
      </c>
      <c r="D8" s="1" t="str">
        <f t="shared" si="1"/>
        <v>FD:1A005</v>
      </c>
      <c r="E8" s="1" t="s">
        <v>13</v>
      </c>
      <c r="F8" s="1" t="e" vm="1">
        <v>#VALUE!</v>
      </c>
      <c r="G8" s="1" t="s">
        <v>18</v>
      </c>
      <c r="H8" s="1">
        <v>35</v>
      </c>
      <c r="K8" s="1">
        <v>1</v>
      </c>
      <c r="O8" s="9" t="s">
        <v>44</v>
      </c>
      <c r="P8" s="10">
        <f>ROUND(P6/P7, 0)</f>
        <v>2</v>
      </c>
    </row>
    <row r="9" spans="1:17" x14ac:dyDescent="0.25">
      <c r="A9" s="1">
        <v>1</v>
      </c>
      <c r="B9" s="1" t="s">
        <v>3</v>
      </c>
      <c r="C9" s="4" t="s">
        <v>23</v>
      </c>
      <c r="D9" s="1" t="str">
        <f t="shared" si="1"/>
        <v>FD:1A006</v>
      </c>
      <c r="E9" s="1" t="s">
        <v>13</v>
      </c>
      <c r="F9" s="1" t="e" vm="1">
        <v>#VALUE!</v>
      </c>
      <c r="G9" s="1" t="s">
        <v>19</v>
      </c>
      <c r="H9" s="1">
        <v>35</v>
      </c>
      <c r="J9" s="1">
        <v>1</v>
      </c>
      <c r="O9" s="9" t="s">
        <v>45</v>
      </c>
      <c r="P9" s="11">
        <v>46.5</v>
      </c>
    </row>
    <row r="10" spans="1:17" x14ac:dyDescent="0.25">
      <c r="A10" s="1">
        <v>1</v>
      </c>
      <c r="B10" s="1" t="s">
        <v>3</v>
      </c>
      <c r="C10" s="4" t="s">
        <v>24</v>
      </c>
      <c r="D10" s="1" t="str">
        <f t="shared" si="1"/>
        <v>FD:1A007</v>
      </c>
      <c r="E10" s="1" t="s">
        <v>13</v>
      </c>
      <c r="F10" s="1" t="e" vm="1">
        <v>#VALUE!</v>
      </c>
      <c r="G10" s="1" t="s">
        <v>33</v>
      </c>
      <c r="H10" s="1">
        <v>30</v>
      </c>
      <c r="K10" s="1">
        <v>1</v>
      </c>
      <c r="O10" s="9" t="s">
        <v>46</v>
      </c>
      <c r="P10" s="12">
        <v>0.23</v>
      </c>
    </row>
    <row r="11" spans="1:17" x14ac:dyDescent="0.25">
      <c r="A11" s="1">
        <v>1</v>
      </c>
      <c r="B11" s="1" t="s">
        <v>3</v>
      </c>
      <c r="C11" s="4" t="s">
        <v>25</v>
      </c>
      <c r="D11" s="1" t="str">
        <f t="shared" si="1"/>
        <v>FD:1A008</v>
      </c>
      <c r="E11" s="1" t="s">
        <v>13</v>
      </c>
      <c r="F11" s="1" t="e" vm="1">
        <v>#VALUE!</v>
      </c>
      <c r="G11" s="1" t="s">
        <v>19</v>
      </c>
      <c r="H11" s="1">
        <v>25</v>
      </c>
      <c r="J11" s="1">
        <v>1</v>
      </c>
      <c r="O11" s="9" t="s">
        <v>47</v>
      </c>
      <c r="P11" s="11">
        <f>P9*P10</f>
        <v>10.695</v>
      </c>
    </row>
    <row r="12" spans="1:17" x14ac:dyDescent="0.25">
      <c r="A12" s="1">
        <v>1</v>
      </c>
      <c r="B12" s="1" t="s">
        <v>3</v>
      </c>
      <c r="C12" s="4" t="s">
        <v>26</v>
      </c>
      <c r="D12" s="1" t="str">
        <f t="shared" si="1"/>
        <v>FD:1A009</v>
      </c>
      <c r="E12" s="1" t="s">
        <v>13</v>
      </c>
      <c r="F12" s="1" t="e" vm="1">
        <v>#VALUE!</v>
      </c>
      <c r="G12" s="1" t="s">
        <v>33</v>
      </c>
      <c r="H12" s="1">
        <v>25</v>
      </c>
      <c r="M12" s="1">
        <v>1</v>
      </c>
      <c r="O12" s="9" t="s">
        <v>48</v>
      </c>
      <c r="P12" s="11">
        <f>P9+P11</f>
        <v>57.195</v>
      </c>
    </row>
    <row r="13" spans="1:17" ht="15.75" thickBot="1" x14ac:dyDescent="0.3">
      <c r="A13" s="1">
        <v>1</v>
      </c>
      <c r="B13" s="1" t="s">
        <v>3</v>
      </c>
      <c r="C13" s="4" t="s">
        <v>27</v>
      </c>
      <c r="D13" s="1" t="str">
        <f t="shared" si="1"/>
        <v>FD:1A010</v>
      </c>
      <c r="E13" s="1" t="s">
        <v>34</v>
      </c>
      <c r="F13" s="1" t="e" vm="2">
        <v>#VALUE!</v>
      </c>
      <c r="G13" s="1" t="s">
        <v>35</v>
      </c>
      <c r="H13" s="1">
        <v>25</v>
      </c>
      <c r="K13" s="1">
        <v>1</v>
      </c>
      <c r="O13" s="13" t="s">
        <v>49</v>
      </c>
      <c r="P13" s="14">
        <f>P12*P8</f>
        <v>114.39</v>
      </c>
    </row>
    <row r="14" spans="1:17" ht="15.75" thickBot="1" x14ac:dyDescent="0.3">
      <c r="A14" s="1">
        <v>1</v>
      </c>
      <c r="B14" s="1" t="s">
        <v>3</v>
      </c>
      <c r="C14" s="4" t="s">
        <v>28</v>
      </c>
      <c r="D14" s="1" t="str">
        <f t="shared" si="1"/>
        <v>FD:1A011</v>
      </c>
      <c r="E14" s="1" t="s">
        <v>34</v>
      </c>
      <c r="F14" s="1" t="e" vm="2">
        <v>#VALUE!</v>
      </c>
      <c r="G14" s="1" t="s">
        <v>35</v>
      </c>
      <c r="H14" s="1">
        <v>8</v>
      </c>
      <c r="K14" s="1">
        <v>1</v>
      </c>
    </row>
    <row r="15" spans="1:17" x14ac:dyDescent="0.25">
      <c r="A15" s="1">
        <v>1</v>
      </c>
      <c r="B15" s="1" t="s">
        <v>3</v>
      </c>
      <c r="C15" s="4" t="s">
        <v>29</v>
      </c>
      <c r="D15" s="1" t="str">
        <f t="shared" si="1"/>
        <v>FD:1A012</v>
      </c>
      <c r="E15" s="1" t="s">
        <v>34</v>
      </c>
      <c r="F15" s="1" t="e" vm="2">
        <v>#VALUE!</v>
      </c>
      <c r="G15" s="1" t="s">
        <v>35</v>
      </c>
      <c r="H15" s="1">
        <v>25</v>
      </c>
      <c r="K15" s="1">
        <v>1</v>
      </c>
      <c r="O15" s="18" t="s">
        <v>56</v>
      </c>
      <c r="P15" s="19">
        <v>17</v>
      </c>
    </row>
    <row r="16" spans="1:17" x14ac:dyDescent="0.25">
      <c r="A16" s="1">
        <v>1</v>
      </c>
      <c r="B16" s="1" t="s">
        <v>3</v>
      </c>
      <c r="C16" s="4" t="s">
        <v>30</v>
      </c>
      <c r="D16" s="1" t="str">
        <f t="shared" si="1"/>
        <v>FD:1A013</v>
      </c>
      <c r="E16" s="1" t="s">
        <v>34</v>
      </c>
      <c r="F16" s="1" t="e" vm="3">
        <v>#VALUE!</v>
      </c>
      <c r="G16" s="1" t="s">
        <v>36</v>
      </c>
      <c r="H16" s="1">
        <v>68</v>
      </c>
      <c r="L16" s="1">
        <v>1</v>
      </c>
      <c r="O16" s="20" t="s">
        <v>57</v>
      </c>
      <c r="P16" s="21">
        <v>100</v>
      </c>
    </row>
    <row r="17" spans="1:16" x14ac:dyDescent="0.25">
      <c r="A17" s="1">
        <v>1</v>
      </c>
      <c r="B17" s="1" t="s">
        <v>3</v>
      </c>
      <c r="C17" s="4" t="s">
        <v>31</v>
      </c>
      <c r="D17" s="1" t="str">
        <f t="shared" si="1"/>
        <v>FD:1A014</v>
      </c>
      <c r="E17" s="1" t="s">
        <v>34</v>
      </c>
      <c r="F17" s="1" t="e" vm="3">
        <v>#VALUE!</v>
      </c>
      <c r="G17" s="1" t="s">
        <v>36</v>
      </c>
      <c r="H17" s="1">
        <v>49</v>
      </c>
      <c r="L17" s="1">
        <v>1</v>
      </c>
      <c r="O17" s="20" t="s">
        <v>46</v>
      </c>
      <c r="P17" s="22">
        <v>0.23</v>
      </c>
    </row>
    <row r="18" spans="1:16" x14ac:dyDescent="0.25">
      <c r="A18" s="1">
        <v>1</v>
      </c>
      <c r="B18" s="1" t="s">
        <v>3</v>
      </c>
      <c r="C18" s="4" t="s">
        <v>32</v>
      </c>
      <c r="D18" s="1" t="str">
        <f t="shared" si="1"/>
        <v>FD:1A015</v>
      </c>
      <c r="E18" s="1" t="s">
        <v>37</v>
      </c>
      <c r="F18" s="1" t="e" vm="4">
        <v>#VALUE!</v>
      </c>
      <c r="G18" s="1" t="s">
        <v>38</v>
      </c>
      <c r="H18" s="1">
        <v>30</v>
      </c>
      <c r="K18" s="1">
        <v>1</v>
      </c>
      <c r="O18" s="20" t="s">
        <v>47</v>
      </c>
      <c r="P18" s="21">
        <f>P16*P17</f>
        <v>23</v>
      </c>
    </row>
    <row r="19" spans="1:16" x14ac:dyDescent="0.25">
      <c r="A19" s="1">
        <v>1</v>
      </c>
      <c r="B19" s="1" t="s">
        <v>3</v>
      </c>
      <c r="C19" s="4" t="s">
        <v>40</v>
      </c>
      <c r="D19" s="1" t="str">
        <f t="shared" si="1"/>
        <v>FD:1A016</v>
      </c>
      <c r="E19" s="1" t="s">
        <v>37</v>
      </c>
      <c r="F19" s="1" t="e" vm="4">
        <v>#VALUE!</v>
      </c>
      <c r="G19" s="1" t="s">
        <v>33</v>
      </c>
      <c r="H19" s="1">
        <v>30</v>
      </c>
      <c r="M19" s="1">
        <v>1</v>
      </c>
      <c r="O19" s="20" t="s">
        <v>48</v>
      </c>
      <c r="P19" s="21">
        <f>P16+P18</f>
        <v>123</v>
      </c>
    </row>
    <row r="20" spans="1:16" ht="15.75" thickBot="1" x14ac:dyDescent="0.3">
      <c r="A20" s="1">
        <v>1</v>
      </c>
      <c r="B20" s="1" t="s">
        <v>3</v>
      </c>
      <c r="C20" s="4" t="s">
        <v>41</v>
      </c>
      <c r="D20" s="1" t="str">
        <f t="shared" si="1"/>
        <v>FD:1A017</v>
      </c>
      <c r="E20" s="1" t="s">
        <v>37</v>
      </c>
      <c r="F20" s="1" t="e" vm="4">
        <v>#VALUE!</v>
      </c>
      <c r="G20" s="1" t="s">
        <v>39</v>
      </c>
      <c r="H20" s="1">
        <v>30</v>
      </c>
      <c r="J20" s="1">
        <v>1</v>
      </c>
      <c r="O20" s="23" t="s">
        <v>58</v>
      </c>
      <c r="P20" s="24">
        <f>P19*P15</f>
        <v>2091</v>
      </c>
    </row>
    <row r="21" spans="1:16" ht="15.75" thickBot="1" x14ac:dyDescent="0.3"/>
    <row r="22" spans="1:16" x14ac:dyDescent="0.25">
      <c r="O22" s="25" t="s">
        <v>59</v>
      </c>
      <c r="P22" s="26">
        <f>J1</f>
        <v>5</v>
      </c>
    </row>
    <row r="23" spans="1:16" x14ac:dyDescent="0.25">
      <c r="O23" s="27" t="s">
        <v>60</v>
      </c>
      <c r="P23" s="28">
        <f>K1</f>
        <v>8</v>
      </c>
    </row>
    <row r="24" spans="1:16" x14ac:dyDescent="0.25">
      <c r="O24" s="27" t="s">
        <v>61</v>
      </c>
      <c r="P24" s="28">
        <f>L1</f>
        <v>2</v>
      </c>
    </row>
    <row r="25" spans="1:16" x14ac:dyDescent="0.25">
      <c r="O25" s="27" t="s">
        <v>62</v>
      </c>
      <c r="P25" s="28">
        <f>SUM(P22:P24)</f>
        <v>15</v>
      </c>
    </row>
    <row r="26" spans="1:16" x14ac:dyDescent="0.25">
      <c r="O26" s="27" t="s">
        <v>63</v>
      </c>
      <c r="P26" s="28">
        <v>24</v>
      </c>
    </row>
    <row r="27" spans="1:16" x14ac:dyDescent="0.25">
      <c r="O27" s="27" t="s">
        <v>64</v>
      </c>
      <c r="P27" s="28">
        <f>ROUND(P25/P26, 0)</f>
        <v>1</v>
      </c>
    </row>
    <row r="28" spans="1:16" x14ac:dyDescent="0.25">
      <c r="O28" s="27" t="s">
        <v>65</v>
      </c>
      <c r="P28" s="29">
        <v>1500</v>
      </c>
    </row>
    <row r="29" spans="1:16" x14ac:dyDescent="0.25">
      <c r="O29" s="27" t="s">
        <v>46</v>
      </c>
      <c r="P29" s="28">
        <v>0.23</v>
      </c>
    </row>
    <row r="30" spans="1:16" x14ac:dyDescent="0.25">
      <c r="O30" s="27" t="s">
        <v>47</v>
      </c>
      <c r="P30" s="29">
        <f>P28*P29</f>
        <v>345</v>
      </c>
    </row>
    <row r="31" spans="1:16" x14ac:dyDescent="0.25">
      <c r="O31" s="27" t="s">
        <v>48</v>
      </c>
      <c r="P31" s="29">
        <f>P28+P30</f>
        <v>1845</v>
      </c>
    </row>
    <row r="32" spans="1:16" ht="15.75" thickBot="1" x14ac:dyDescent="0.3">
      <c r="O32" s="30" t="s">
        <v>66</v>
      </c>
      <c r="P32" s="31">
        <f>P31*P27</f>
        <v>1845</v>
      </c>
    </row>
  </sheetData>
  <mergeCells count="1">
    <mergeCell ref="J2:M2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33991-B63B-4BCA-8325-A3AAC0A31E06}">
  <dimension ref="A1:M10"/>
  <sheetViews>
    <sheetView workbookViewId="0">
      <pane ySplit="2" topLeftCell="A3" activePane="bottomLeft" state="frozen"/>
      <selection pane="bottomLeft" activeCell="L11" sqref="L11"/>
    </sheetView>
  </sheetViews>
  <sheetFormatPr defaultRowHeight="15" x14ac:dyDescent="0.25"/>
  <cols>
    <col min="1" max="6" width="9.140625" style="1"/>
    <col min="7" max="7" width="13.7109375" style="1" bestFit="1" customWidth="1"/>
    <col min="8" max="11" width="9.140625" style="1"/>
    <col min="12" max="12" width="16.7109375" style="1" bestFit="1" customWidth="1"/>
    <col min="13" max="13" width="6.5703125" style="1" bestFit="1" customWidth="1"/>
    <col min="14" max="16384" width="9.140625" style="1"/>
  </cols>
  <sheetData>
    <row r="1" spans="1:13" x14ac:dyDescent="0.25">
      <c r="H1" s="1">
        <f>SUM(H3:H8)</f>
        <v>34</v>
      </c>
    </row>
    <row r="2" spans="1:13" s="2" customFormat="1" ht="72.75" thickBot="1" x14ac:dyDescent="0.3">
      <c r="A2" s="2" t="s">
        <v>67</v>
      </c>
      <c r="B2" s="2" t="s">
        <v>68</v>
      </c>
      <c r="C2" s="2" t="s">
        <v>75</v>
      </c>
      <c r="D2" s="2" t="s">
        <v>69</v>
      </c>
      <c r="E2" s="2" t="s">
        <v>73</v>
      </c>
      <c r="F2" s="2" t="s">
        <v>74</v>
      </c>
      <c r="G2" s="2" t="s">
        <v>76</v>
      </c>
      <c r="H2" s="2" t="s">
        <v>17</v>
      </c>
    </row>
    <row r="3" spans="1:13" x14ac:dyDescent="0.25">
      <c r="A3" s="1" t="s">
        <v>70</v>
      </c>
      <c r="B3" s="1" t="s">
        <v>71</v>
      </c>
      <c r="C3" s="1">
        <v>1</v>
      </c>
      <c r="D3" s="1" t="s">
        <v>72</v>
      </c>
      <c r="E3" s="1">
        <v>8</v>
      </c>
      <c r="F3" s="1">
        <f>E3/2</f>
        <v>4</v>
      </c>
      <c r="G3" s="1" t="str">
        <f>"BD:" &amp; A3 &amp; "-" &amp; B3 &amp; " " &amp; D3 &amp; C3</f>
        <v>BD:1A-1B MMF1</v>
      </c>
      <c r="H3" s="1">
        <v>10</v>
      </c>
      <c r="L3" s="7" t="s">
        <v>42</v>
      </c>
      <c r="M3" s="8">
        <f>H1</f>
        <v>34</v>
      </c>
    </row>
    <row r="4" spans="1:13" x14ac:dyDescent="0.25">
      <c r="A4" s="1" t="s">
        <v>71</v>
      </c>
      <c r="B4" s="1" t="s">
        <v>70</v>
      </c>
      <c r="C4" s="1">
        <v>2</v>
      </c>
      <c r="D4" s="1" t="s">
        <v>72</v>
      </c>
      <c r="E4" s="1">
        <v>8</v>
      </c>
      <c r="F4" s="1">
        <f>E4/2</f>
        <v>4</v>
      </c>
      <c r="G4" s="1" t="str">
        <f>"BD:" &amp; A4 &amp; "-" &amp; B4 &amp; " " &amp; D4 &amp; C4</f>
        <v>BD:1B-1A MMF2</v>
      </c>
      <c r="H4" s="1">
        <v>10</v>
      </c>
      <c r="L4" s="9" t="s">
        <v>43</v>
      </c>
      <c r="M4" s="10">
        <v>30</v>
      </c>
    </row>
    <row r="5" spans="1:13" x14ac:dyDescent="0.25">
      <c r="A5" s="1" t="s">
        <v>70</v>
      </c>
      <c r="B5" s="1" t="s">
        <v>77</v>
      </c>
      <c r="C5" s="1">
        <v>3</v>
      </c>
      <c r="D5" s="1" t="s">
        <v>72</v>
      </c>
      <c r="E5" s="1">
        <v>8</v>
      </c>
      <c r="F5" s="1">
        <f t="shared" ref="F5:F8" si="0">E5/2</f>
        <v>4</v>
      </c>
      <c r="G5" s="1" t="str">
        <f t="shared" ref="G5:G8" si="1">"BD:" &amp; A5 &amp; "-" &amp; B5 &amp; " " &amp; D5 &amp; C5</f>
        <v>BD:1A-CD MMF3</v>
      </c>
      <c r="H5" s="1">
        <v>2</v>
      </c>
      <c r="L5" s="9" t="s">
        <v>44</v>
      </c>
      <c r="M5" s="10">
        <f>ROUND(M3/M4, 0)</f>
        <v>1</v>
      </c>
    </row>
    <row r="6" spans="1:13" x14ac:dyDescent="0.25">
      <c r="A6" s="1" t="s">
        <v>77</v>
      </c>
      <c r="B6" s="1" t="s">
        <v>70</v>
      </c>
      <c r="C6" s="1">
        <v>4</v>
      </c>
      <c r="D6" s="1" t="s">
        <v>72</v>
      </c>
      <c r="E6" s="1">
        <v>8</v>
      </c>
      <c r="F6" s="1">
        <f t="shared" si="0"/>
        <v>4</v>
      </c>
      <c r="G6" s="1" t="str">
        <f t="shared" si="1"/>
        <v>BD:CD-1A MMF4</v>
      </c>
      <c r="H6" s="1">
        <v>2</v>
      </c>
      <c r="L6" s="9" t="s">
        <v>45</v>
      </c>
      <c r="M6" s="11">
        <v>32</v>
      </c>
    </row>
    <row r="7" spans="1:13" x14ac:dyDescent="0.25">
      <c r="A7" s="1" t="s">
        <v>71</v>
      </c>
      <c r="B7" s="1" t="s">
        <v>77</v>
      </c>
      <c r="C7" s="1">
        <v>5</v>
      </c>
      <c r="D7" s="1" t="s">
        <v>72</v>
      </c>
      <c r="E7" s="1">
        <v>8</v>
      </c>
      <c r="F7" s="1">
        <f t="shared" si="0"/>
        <v>4</v>
      </c>
      <c r="G7" s="1" t="str">
        <f t="shared" si="1"/>
        <v>BD:1B-CD MMF5</v>
      </c>
      <c r="H7" s="1">
        <v>5</v>
      </c>
      <c r="L7" s="9" t="s">
        <v>46</v>
      </c>
      <c r="M7" s="12">
        <v>0.23</v>
      </c>
    </row>
    <row r="8" spans="1:13" x14ac:dyDescent="0.25">
      <c r="A8" s="1" t="s">
        <v>77</v>
      </c>
      <c r="B8" s="1" t="s">
        <v>71</v>
      </c>
      <c r="C8" s="1">
        <v>6</v>
      </c>
      <c r="D8" s="1" t="s">
        <v>72</v>
      </c>
      <c r="E8" s="1">
        <v>8</v>
      </c>
      <c r="F8" s="1">
        <f t="shared" si="0"/>
        <v>4</v>
      </c>
      <c r="G8" s="1" t="str">
        <f t="shared" si="1"/>
        <v>BD:CD-1B MMF6</v>
      </c>
      <c r="H8" s="1">
        <v>5</v>
      </c>
      <c r="L8" s="9" t="s">
        <v>47</v>
      </c>
      <c r="M8" s="11">
        <f>M6*M7</f>
        <v>7.36</v>
      </c>
    </row>
    <row r="9" spans="1:13" x14ac:dyDescent="0.25">
      <c r="L9" s="9" t="s">
        <v>48</v>
      </c>
      <c r="M9" s="11">
        <f>M6+M8</f>
        <v>39.36</v>
      </c>
    </row>
    <row r="10" spans="1:13" ht="15.75" thickBot="1" x14ac:dyDescent="0.3">
      <c r="L10" s="13" t="s">
        <v>87</v>
      </c>
      <c r="M10" s="14">
        <f>M9*M5</f>
        <v>39.36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9B2D5-04CA-4354-A55C-FF565FC88F02}">
  <dimension ref="A1:N22"/>
  <sheetViews>
    <sheetView workbookViewId="0">
      <pane ySplit="2" topLeftCell="A3" activePane="bottomLeft" state="frozen"/>
      <selection pane="bottomLeft" activeCell="N15" sqref="N15"/>
    </sheetView>
  </sheetViews>
  <sheetFormatPr defaultRowHeight="15" x14ac:dyDescent="0.25"/>
  <cols>
    <col min="7" max="7" width="15" bestFit="1" customWidth="1"/>
    <col min="13" max="13" width="16.7109375" bestFit="1" customWidth="1"/>
  </cols>
  <sheetData>
    <row r="1" spans="1:14" x14ac:dyDescent="0.25">
      <c r="H1">
        <f>SUM(H3:H12)</f>
        <v>830</v>
      </c>
      <c r="I1">
        <f>SUM(I13:I22)</f>
        <v>830</v>
      </c>
    </row>
    <row r="2" spans="1:14" ht="72.75" thickBot="1" x14ac:dyDescent="0.3">
      <c r="A2" s="2" t="s">
        <v>67</v>
      </c>
      <c r="B2" s="2" t="s">
        <v>68</v>
      </c>
      <c r="C2" s="2" t="s">
        <v>75</v>
      </c>
      <c r="D2" s="2" t="s">
        <v>69</v>
      </c>
      <c r="E2" s="2" t="s">
        <v>73</v>
      </c>
      <c r="F2" s="2" t="s">
        <v>74</v>
      </c>
      <c r="G2" s="2" t="s">
        <v>76</v>
      </c>
      <c r="H2" s="2" t="s">
        <v>85</v>
      </c>
      <c r="I2" s="2" t="s">
        <v>86</v>
      </c>
    </row>
    <row r="3" spans="1:14" x14ac:dyDescent="0.25">
      <c r="A3" s="1">
        <v>1</v>
      </c>
      <c r="B3" s="1">
        <v>2</v>
      </c>
      <c r="C3" s="1">
        <v>1</v>
      </c>
      <c r="D3" s="1" t="s">
        <v>72</v>
      </c>
      <c r="E3" s="1">
        <v>8</v>
      </c>
      <c r="F3" s="1">
        <f>E3/2</f>
        <v>4</v>
      </c>
      <c r="G3" s="1" t="str">
        <f>"CD:" &amp; A3 &amp; "-" &amp; B3 &amp; " " &amp; D3 &amp; C3</f>
        <v>CD:1-2 MMF1</v>
      </c>
      <c r="H3" s="1">
        <v>120</v>
      </c>
      <c r="M3" s="7" t="s">
        <v>42</v>
      </c>
      <c r="N3" s="8">
        <f>I1</f>
        <v>830</v>
      </c>
    </row>
    <row r="4" spans="1:14" x14ac:dyDescent="0.25">
      <c r="A4" s="1">
        <v>2</v>
      </c>
      <c r="B4" s="1">
        <v>3</v>
      </c>
      <c r="C4" s="1">
        <v>2</v>
      </c>
      <c r="D4" s="1" t="s">
        <v>72</v>
      </c>
      <c r="E4" s="1">
        <v>8</v>
      </c>
      <c r="F4" s="1">
        <f>E4/2</f>
        <v>4</v>
      </c>
      <c r="G4" s="1" t="str">
        <f t="shared" ref="G4:G12" si="0">"CD:" &amp; A4 &amp; "-" &amp; B4 &amp; " " &amp; D4 &amp; C4</f>
        <v>CD:2-3 MMF2</v>
      </c>
      <c r="H4" s="1">
        <v>60</v>
      </c>
      <c r="M4" s="9" t="s">
        <v>43</v>
      </c>
      <c r="N4" s="10">
        <v>30</v>
      </c>
    </row>
    <row r="5" spans="1:14" x14ac:dyDescent="0.25">
      <c r="A5" s="1">
        <v>3</v>
      </c>
      <c r="B5" s="1">
        <v>4</v>
      </c>
      <c r="C5" s="1">
        <v>3</v>
      </c>
      <c r="D5" s="1" t="s">
        <v>72</v>
      </c>
      <c r="E5" s="1">
        <v>8</v>
      </c>
      <c r="F5" s="1">
        <f t="shared" ref="F5:F12" si="1">E5/2</f>
        <v>4</v>
      </c>
      <c r="G5" s="1" t="str">
        <f t="shared" si="0"/>
        <v>CD:3-4 MMF3</v>
      </c>
      <c r="H5" s="1">
        <v>140</v>
      </c>
      <c r="M5" s="9" t="s">
        <v>44</v>
      </c>
      <c r="N5" s="10">
        <f>ROUND(N3/N4, 0)</f>
        <v>28</v>
      </c>
    </row>
    <row r="6" spans="1:14" x14ac:dyDescent="0.25">
      <c r="A6" s="1">
        <v>4</v>
      </c>
      <c r="B6" s="1">
        <v>5</v>
      </c>
      <c r="C6" s="1">
        <v>4</v>
      </c>
      <c r="D6" s="1" t="s">
        <v>72</v>
      </c>
      <c r="E6" s="1">
        <v>8</v>
      </c>
      <c r="F6" s="1">
        <f t="shared" si="1"/>
        <v>4</v>
      </c>
      <c r="G6" s="1" t="str">
        <f t="shared" si="0"/>
        <v>CD:4-5 MMF4</v>
      </c>
      <c r="H6" s="1">
        <v>100</v>
      </c>
      <c r="M6" s="9" t="s">
        <v>45</v>
      </c>
      <c r="N6" s="11">
        <v>32</v>
      </c>
    </row>
    <row r="7" spans="1:14" x14ac:dyDescent="0.25">
      <c r="A7" s="1">
        <v>5</v>
      </c>
      <c r="B7" s="1">
        <v>6</v>
      </c>
      <c r="C7" s="1">
        <v>5</v>
      </c>
      <c r="D7" s="1" t="s">
        <v>72</v>
      </c>
      <c r="E7" s="1">
        <v>8</v>
      </c>
      <c r="F7" s="1">
        <f t="shared" si="1"/>
        <v>4</v>
      </c>
      <c r="G7" s="1" t="str">
        <f t="shared" si="0"/>
        <v>CD:5-6 MMF5</v>
      </c>
      <c r="H7" s="1">
        <v>40</v>
      </c>
      <c r="M7" s="9" t="s">
        <v>46</v>
      </c>
      <c r="N7" s="12">
        <v>0.23</v>
      </c>
    </row>
    <row r="8" spans="1:14" x14ac:dyDescent="0.25">
      <c r="A8" s="1">
        <v>6</v>
      </c>
      <c r="B8" s="1">
        <v>7</v>
      </c>
      <c r="C8" s="1">
        <v>6</v>
      </c>
      <c r="D8" s="1" t="s">
        <v>72</v>
      </c>
      <c r="E8" s="1">
        <v>8</v>
      </c>
      <c r="F8" s="1">
        <f t="shared" si="1"/>
        <v>4</v>
      </c>
      <c r="G8" s="1" t="str">
        <f t="shared" si="0"/>
        <v>CD:6-7 MMF6</v>
      </c>
      <c r="H8" s="1">
        <v>40</v>
      </c>
      <c r="M8" s="9" t="s">
        <v>47</v>
      </c>
      <c r="N8" s="11">
        <f>N6*N7</f>
        <v>7.36</v>
      </c>
    </row>
    <row r="9" spans="1:14" x14ac:dyDescent="0.25">
      <c r="A9" s="1">
        <v>7</v>
      </c>
      <c r="B9" s="1">
        <v>8</v>
      </c>
      <c r="C9" s="1">
        <v>7</v>
      </c>
      <c r="D9" s="1" t="s">
        <v>72</v>
      </c>
      <c r="E9" s="1">
        <v>8</v>
      </c>
      <c r="F9" s="1">
        <f t="shared" si="1"/>
        <v>4</v>
      </c>
      <c r="G9" s="1" t="str">
        <f t="shared" si="0"/>
        <v>CD:7-8 MMF7</v>
      </c>
      <c r="H9" s="1">
        <v>40</v>
      </c>
      <c r="M9" s="9" t="s">
        <v>48</v>
      </c>
      <c r="N9" s="11">
        <f>N6+N8</f>
        <v>39.36</v>
      </c>
    </row>
    <row r="10" spans="1:14" ht="15.75" thickBot="1" x14ac:dyDescent="0.3">
      <c r="A10" s="1">
        <v>8</v>
      </c>
      <c r="B10" s="1">
        <v>9</v>
      </c>
      <c r="C10" s="1">
        <v>8</v>
      </c>
      <c r="D10" s="1" t="s">
        <v>72</v>
      </c>
      <c r="E10" s="1">
        <v>8</v>
      </c>
      <c r="F10" s="1">
        <f t="shared" si="1"/>
        <v>4</v>
      </c>
      <c r="G10" s="1" t="str">
        <f t="shared" si="0"/>
        <v>CD:8-9 MMF8</v>
      </c>
      <c r="H10" s="1">
        <v>80</v>
      </c>
      <c r="M10" s="13" t="s">
        <v>87</v>
      </c>
      <c r="N10" s="14">
        <f>N9*N5</f>
        <v>1102.08</v>
      </c>
    </row>
    <row r="11" spans="1:14" x14ac:dyDescent="0.25">
      <c r="A11" s="1">
        <v>9</v>
      </c>
      <c r="B11" s="1">
        <v>10</v>
      </c>
      <c r="C11" s="1">
        <v>9</v>
      </c>
      <c r="D11" s="1" t="s">
        <v>72</v>
      </c>
      <c r="E11" s="1">
        <v>8</v>
      </c>
      <c r="F11" s="1">
        <f t="shared" si="1"/>
        <v>4</v>
      </c>
      <c r="G11" s="1" t="str">
        <f t="shared" si="0"/>
        <v>CD:9-10 MMF9</v>
      </c>
      <c r="H11" s="1">
        <v>100</v>
      </c>
    </row>
    <row r="12" spans="1:14" x14ac:dyDescent="0.25">
      <c r="A12" s="1">
        <v>1</v>
      </c>
      <c r="B12" s="1">
        <v>5</v>
      </c>
      <c r="C12" s="1">
        <v>10</v>
      </c>
      <c r="D12" s="1" t="s">
        <v>72</v>
      </c>
      <c r="E12" s="1">
        <v>8</v>
      </c>
      <c r="F12" s="1">
        <f t="shared" si="1"/>
        <v>4</v>
      </c>
      <c r="G12" s="1" t="str">
        <f t="shared" si="0"/>
        <v>CD:1-5 MMF10</v>
      </c>
      <c r="H12" s="1">
        <v>110</v>
      </c>
    </row>
    <row r="13" spans="1:14" ht="15.75" thickBot="1" x14ac:dyDescent="0.3">
      <c r="A13" s="1">
        <v>1</v>
      </c>
      <c r="B13" s="1">
        <v>2</v>
      </c>
      <c r="C13" s="1">
        <v>1</v>
      </c>
      <c r="D13" s="1" t="s">
        <v>84</v>
      </c>
      <c r="E13" s="1">
        <v>8</v>
      </c>
      <c r="F13" s="1">
        <f>E13/2</f>
        <v>4</v>
      </c>
      <c r="G13" s="1" t="str">
        <f>"CD:" &amp; A13 &amp; "-" &amp; B13 &amp; " " &amp; D13 &amp; C13</f>
        <v>CD:1-2 BC1</v>
      </c>
      <c r="I13" s="1">
        <v>120</v>
      </c>
    </row>
    <row r="14" spans="1:14" x14ac:dyDescent="0.25">
      <c r="A14" s="1">
        <v>2</v>
      </c>
      <c r="B14" s="1">
        <v>3</v>
      </c>
      <c r="C14" s="1">
        <v>2</v>
      </c>
      <c r="D14" s="1" t="s">
        <v>84</v>
      </c>
      <c r="E14" s="1">
        <v>8</v>
      </c>
      <c r="F14" s="1">
        <f>E14/2</f>
        <v>4</v>
      </c>
      <c r="G14" s="1" t="str">
        <f t="shared" ref="G14:G22" si="2">"CD:" &amp; A14 &amp; "-" &amp; B14 &amp; " " &amp; D14 &amp; C14</f>
        <v>CD:2-3 BC2</v>
      </c>
      <c r="I14" s="1">
        <v>60</v>
      </c>
      <c r="M14" s="32" t="s">
        <v>42</v>
      </c>
      <c r="N14" s="33">
        <f>I1</f>
        <v>830</v>
      </c>
    </row>
    <row r="15" spans="1:14" x14ac:dyDescent="0.25">
      <c r="A15" s="1">
        <v>3</v>
      </c>
      <c r="B15" s="1">
        <v>4</v>
      </c>
      <c r="C15" s="1">
        <v>3</v>
      </c>
      <c r="D15" s="1" t="s">
        <v>84</v>
      </c>
      <c r="E15" s="1">
        <v>8</v>
      </c>
      <c r="F15" s="1">
        <f t="shared" ref="F15:F22" si="3">E15/2</f>
        <v>4</v>
      </c>
      <c r="G15" s="1" t="str">
        <f t="shared" si="2"/>
        <v>CD:3-4 BC3</v>
      </c>
      <c r="I15" s="1">
        <v>140</v>
      </c>
      <c r="M15" s="34" t="s">
        <v>43</v>
      </c>
      <c r="N15" s="35">
        <v>300</v>
      </c>
    </row>
    <row r="16" spans="1:14" x14ac:dyDescent="0.25">
      <c r="A16" s="1">
        <v>4</v>
      </c>
      <c r="B16" s="1">
        <v>5</v>
      </c>
      <c r="C16" s="1">
        <v>4</v>
      </c>
      <c r="D16" s="1" t="s">
        <v>84</v>
      </c>
      <c r="E16" s="1">
        <v>8</v>
      </c>
      <c r="F16" s="1">
        <f t="shared" si="3"/>
        <v>4</v>
      </c>
      <c r="G16" s="1" t="str">
        <f t="shared" si="2"/>
        <v>CD:4-5 BC4</v>
      </c>
      <c r="I16" s="1">
        <v>100</v>
      </c>
      <c r="M16" s="34" t="s">
        <v>44</v>
      </c>
      <c r="N16" s="35">
        <f>ROUND(N14/N15, 0)</f>
        <v>3</v>
      </c>
    </row>
    <row r="17" spans="1:14" x14ac:dyDescent="0.25">
      <c r="A17" s="1">
        <v>5</v>
      </c>
      <c r="B17" s="1">
        <v>6</v>
      </c>
      <c r="C17" s="1">
        <v>5</v>
      </c>
      <c r="D17" s="1" t="s">
        <v>84</v>
      </c>
      <c r="E17" s="1">
        <v>8</v>
      </c>
      <c r="F17" s="1">
        <f t="shared" si="3"/>
        <v>4</v>
      </c>
      <c r="G17" s="1" t="str">
        <f t="shared" si="2"/>
        <v>CD:5-6 BC5</v>
      </c>
      <c r="I17" s="1">
        <v>40</v>
      </c>
      <c r="M17" s="34" t="s">
        <v>45</v>
      </c>
      <c r="N17" s="36">
        <v>46.5</v>
      </c>
    </row>
    <row r="18" spans="1:14" x14ac:dyDescent="0.25">
      <c r="A18" s="1">
        <v>6</v>
      </c>
      <c r="B18" s="1">
        <v>7</v>
      </c>
      <c r="C18" s="1">
        <v>6</v>
      </c>
      <c r="D18" s="1" t="s">
        <v>84</v>
      </c>
      <c r="E18" s="1">
        <v>8</v>
      </c>
      <c r="F18" s="1">
        <f t="shared" si="3"/>
        <v>4</v>
      </c>
      <c r="G18" s="1" t="str">
        <f t="shared" si="2"/>
        <v>CD:6-7 BC6</v>
      </c>
      <c r="I18" s="1">
        <v>40</v>
      </c>
      <c r="M18" s="34" t="s">
        <v>46</v>
      </c>
      <c r="N18" s="37">
        <v>0.23</v>
      </c>
    </row>
    <row r="19" spans="1:14" x14ac:dyDescent="0.25">
      <c r="A19" s="1">
        <v>7</v>
      </c>
      <c r="B19" s="1">
        <v>8</v>
      </c>
      <c r="C19" s="1">
        <v>7</v>
      </c>
      <c r="D19" s="1" t="s">
        <v>84</v>
      </c>
      <c r="E19" s="1">
        <v>8</v>
      </c>
      <c r="F19" s="1">
        <f t="shared" si="3"/>
        <v>4</v>
      </c>
      <c r="G19" s="1" t="str">
        <f t="shared" si="2"/>
        <v>CD:7-8 BC7</v>
      </c>
      <c r="I19" s="1">
        <v>40</v>
      </c>
      <c r="M19" s="34" t="s">
        <v>47</v>
      </c>
      <c r="N19" s="36">
        <f>N17*N18</f>
        <v>10.695</v>
      </c>
    </row>
    <row r="20" spans="1:14" x14ac:dyDescent="0.25">
      <c r="A20" s="1">
        <v>8</v>
      </c>
      <c r="B20" s="1">
        <v>9</v>
      </c>
      <c r="C20" s="1">
        <v>8</v>
      </c>
      <c r="D20" s="1" t="s">
        <v>84</v>
      </c>
      <c r="E20" s="1">
        <v>8</v>
      </c>
      <c r="F20" s="1">
        <f t="shared" si="3"/>
        <v>4</v>
      </c>
      <c r="G20" s="1" t="str">
        <f t="shared" si="2"/>
        <v>CD:8-9 BC8</v>
      </c>
      <c r="I20" s="1">
        <v>80</v>
      </c>
      <c r="M20" s="34" t="s">
        <v>48</v>
      </c>
      <c r="N20" s="36">
        <f>N17+N19</f>
        <v>57.195</v>
      </c>
    </row>
    <row r="21" spans="1:14" ht="15.75" thickBot="1" x14ac:dyDescent="0.3">
      <c r="A21" s="1">
        <v>9</v>
      </c>
      <c r="B21" s="1">
        <v>10</v>
      </c>
      <c r="C21" s="1">
        <v>9</v>
      </c>
      <c r="D21" s="1" t="s">
        <v>84</v>
      </c>
      <c r="E21" s="1">
        <v>8</v>
      </c>
      <c r="F21" s="1">
        <f t="shared" si="3"/>
        <v>4</v>
      </c>
      <c r="G21" s="1" t="str">
        <f t="shared" si="2"/>
        <v>CD:9-10 BC9</v>
      </c>
      <c r="I21" s="1">
        <v>100</v>
      </c>
      <c r="M21" s="38" t="s">
        <v>49</v>
      </c>
      <c r="N21" s="39">
        <f>N20*N16</f>
        <v>171.58500000000001</v>
      </c>
    </row>
    <row r="22" spans="1:14" x14ac:dyDescent="0.25">
      <c r="A22" s="1">
        <v>1</v>
      </c>
      <c r="B22" s="1">
        <v>5</v>
      </c>
      <c r="C22" s="1">
        <v>10</v>
      </c>
      <c r="D22" s="1" t="s">
        <v>84</v>
      </c>
      <c r="E22" s="1">
        <v>8</v>
      </c>
      <c r="F22" s="1">
        <f t="shared" si="3"/>
        <v>4</v>
      </c>
      <c r="G22" s="1" t="str">
        <f t="shared" si="2"/>
        <v>CD:1-5 BC10</v>
      </c>
      <c r="I22" s="1">
        <v>110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E2D4FFA736D74F8AB99F1DA13D19E4" ma:contentTypeVersion="4" ma:contentTypeDescription="Create a new document." ma:contentTypeScope="" ma:versionID="20358db6a53c4bc2875e14ff32e177fa">
  <xsd:schema xmlns:xsd="http://www.w3.org/2001/XMLSchema" xmlns:xs="http://www.w3.org/2001/XMLSchema" xmlns:p="http://schemas.microsoft.com/office/2006/metadata/properties" xmlns:ns3="1707955f-11be-4cf2-a6f6-7cc18f1d57f5" targetNamespace="http://schemas.microsoft.com/office/2006/metadata/properties" ma:root="true" ma:fieldsID="adf18cb8e18d6a7cb1f0fe6c4b04df74" ns3:_="">
    <xsd:import namespace="1707955f-11be-4cf2-a6f6-7cc18f1d57f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7955f-11be-4cf2-a6f6-7cc18f1d57f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8D995B-E22A-44F3-924D-E96C58275D00}">
  <ds:schemaRefs>
    <ds:schemaRef ds:uri="1707955f-11be-4cf2-a6f6-7cc18f1d57f5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F5D0181-13F6-4510-BA66-6F8667BDCE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07955f-11be-4cf2-a6f6-7cc18f1d57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42FC5A-D55D-45AF-8371-A707486D489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7855545-00bb-4800-a65f-e79104ec0fc4}" enabled="0" method="" siteId="{47855545-00bb-4800-a65f-e79104ec0f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FD1A</vt:lpstr>
      <vt:lpstr>BD1</vt:lpstr>
      <vt:lpstr>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Taaffe - STUDENT</dc:creator>
  <cp:lastModifiedBy>Joseph Taaffe - STUDENT</cp:lastModifiedBy>
  <dcterms:created xsi:type="dcterms:W3CDTF">2026-02-03T19:52:30Z</dcterms:created>
  <dcterms:modified xsi:type="dcterms:W3CDTF">2026-02-15T11:32:34Z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0x0101002DE2D4FFA736D74F8AB99F1DA13D19E4</vt:lpwstr>
  </property>
</Properties>
</file>