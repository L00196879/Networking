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\Downloads\"/>
    </mc:Choice>
  </mc:AlternateContent>
  <xr:revisionPtr revIDLastSave="0" documentId="13_ncr:1_{615121C3-714E-45E3-B8E1-DC2F436DC0B6}" xr6:coauthVersionLast="47" xr6:coauthVersionMax="47" xr10:uidLastSave="{00000000-0000-0000-0000-000000000000}"/>
  <bookViews>
    <workbookView xWindow="-28920" yWindow="5295" windowWidth="29040" windowHeight="15720" xr2:uid="{DD7D5A59-9FA2-4580-874E-67EE480BFCD7}"/>
  </bookViews>
  <sheets>
    <sheet name="BOM - Racks 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H3" i="1"/>
  <c r="I3" i="1" s="1"/>
  <c r="K3" i="1" s="1"/>
  <c r="H4" i="1"/>
  <c r="I4" i="1" s="1"/>
  <c r="K4" i="1" s="1"/>
  <c r="H5" i="1"/>
  <c r="I5" i="1" s="1"/>
  <c r="K5" i="1" s="1"/>
  <c r="J7" i="1"/>
  <c r="H7" i="1"/>
  <c r="I7" i="1" s="1"/>
  <c r="J6" i="1"/>
  <c r="H6" i="1"/>
  <c r="I6" i="1" s="1"/>
  <c r="N5" i="1" l="1"/>
  <c r="O5" i="1" s="1"/>
  <c r="N3" i="1"/>
  <c r="O3" i="1" s="1"/>
  <c r="N4" i="1"/>
  <c r="O4" i="1" s="1"/>
  <c r="K6" i="1"/>
  <c r="K7" i="1"/>
  <c r="N7" i="1" s="1"/>
  <c r="O7" i="1" s="1"/>
  <c r="N6" i="1" l="1"/>
  <c r="O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ORaw</author>
  </authors>
  <commentList>
    <comment ref="M2" authorId="0" shapeId="0" xr:uid="{6349D1DE-E5E2-4ED6-80C5-B0650D89DEA2}">
      <text>
        <r>
          <rPr>
            <b/>
            <sz val="9"/>
            <color indexed="81"/>
            <rFont val="Tahoma"/>
            <family val="2"/>
          </rPr>
          <t>Placeholder value
To be provided by Sales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<sst xmlns="http://schemas.openxmlformats.org/spreadsheetml/2006/main" count="38" uniqueCount="37">
  <si>
    <t>Item</t>
  </si>
  <si>
    <t>Description</t>
  </si>
  <si>
    <t>Equipment Rack</t>
  </si>
  <si>
    <t>Uniterruptable Power Supply</t>
  </si>
  <si>
    <t>Power Distribution Unit</t>
  </si>
  <si>
    <t>Manufacturer</t>
  </si>
  <si>
    <t xml:space="preserve">Make </t>
  </si>
  <si>
    <t>Model</t>
  </si>
  <si>
    <t>Net Price Each</t>
  </si>
  <si>
    <t>Quantity</t>
  </si>
  <si>
    <t>VAT</t>
  </si>
  <si>
    <t>Percentage</t>
  </si>
  <si>
    <t>Amount</t>
  </si>
  <si>
    <t>Gross</t>
  </si>
  <si>
    <t>Total</t>
  </si>
  <si>
    <t>Labour - Installers</t>
  </si>
  <si>
    <t>Labour - Consultant</t>
  </si>
  <si>
    <t>Margin</t>
  </si>
  <si>
    <t>Profit</t>
  </si>
  <si>
    <t>Customer price</t>
  </si>
  <si>
    <t>Reference</t>
  </si>
  <si>
    <t>E&amp;OE</t>
  </si>
  <si>
    <t>Quote valid for 30 days from date of issue</t>
  </si>
  <si>
    <t>T&amp;L Charged at cost</t>
  </si>
  <si>
    <t>ShowGear</t>
  </si>
  <si>
    <t>RCA-FSM NETWORK CABINET</t>
  </si>
  <si>
    <t>MESH DOOR 32U</t>
  </si>
  <si>
    <t>ShowGear Rack</t>
  </si>
  <si>
    <t>OnLine UPS system</t>
  </si>
  <si>
    <t>ASSMANN Electronic GmbH</t>
  </si>
  <si>
    <t xml:space="preserve">Digitus </t>
  </si>
  <si>
    <t>Digitus UPS</t>
  </si>
  <si>
    <t xml:space="preserve">TOTAL = </t>
  </si>
  <si>
    <t>RS Online</t>
  </si>
  <si>
    <t>RS Pro</t>
  </si>
  <si>
    <t>Type G</t>
  </si>
  <si>
    <t>RS PDU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</si>
</sst>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#,##0"/>
    <numFmt numFmtId="165" formatCode="0.0%"/>
    <numFmt numFmtId="166" formatCode="&quot;€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164" fontId="0" fillId="0" borderId="0" xfId="0" applyNumberFormat="1"/>
    <xf numFmtId="164" fontId="0" fillId="0" borderId="0" xfId="0" applyNumberFormat="1" applyAlignment="1">
      <alignment horizontal="center" textRotation="90"/>
    </xf>
    <xf numFmtId="164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textRotation="90"/>
    </xf>
    <xf numFmtId="164" fontId="0" fillId="2" borderId="0" xfId="0" applyNumberFormat="1" applyFill="1" applyAlignment="1">
      <alignment horizontal="center" textRotation="90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textRotation="90"/>
    </xf>
    <xf numFmtId="0" fontId="1" fillId="0" borderId="0" xfId="0" applyFont="1"/>
    <xf numFmtId="165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1" applyAlignment="1">
      <alignment horizontal="center"/>
    </xf>
    <xf numFmtId="0" fontId="1" fillId="2" borderId="0" xfId="2" applyFont="1" applyFill="1" applyAlignment="1">
      <alignment horizontal="right"/>
    </xf>
    <xf numFmtId="164" fontId="6" fillId="2" borderId="0" xfId="2" applyNumberFormat="1" applyFont="1" applyFill="1" applyAlignment="1">
      <alignment horizont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.rs-online.com/web/p/power-distribution-units/1617253" TargetMode="External"/><Relationship Id="rId2" Type="http://schemas.openxmlformats.org/officeDocument/2006/relationships/hyperlink" Target="https://www.senetic.ie/product/DN-170095?srsltid=AfmBOopEi2qa2fpJCAQxQgGhmih_VT7eNo3tO18PKyxxEM4HoLe21GRYz34" TargetMode="External"/><Relationship Id="rId1" Type="http://schemas.openxmlformats.org/officeDocument/2006/relationships/hyperlink" Target="https://www.dj-solutions.ie/store/hardware/showgear-rca-fsm-network-cabinet-mesh-door-32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191C-A9C4-44AE-90A5-8BE6E1BD3BE5}">
  <dimension ref="A1:O12"/>
  <sheetViews>
    <sheetView tabSelected="1" workbookViewId="0">
      <pane ySplit="2" topLeftCell="A3" activePane="bottomLeft" state="frozen"/>
      <selection pane="bottomLeft" activeCell="E16" sqref="E16"/>
    </sheetView>
  </sheetViews>
  <sheetFormatPr defaultRowHeight="15" x14ac:dyDescent="0.25"/>
  <cols>
    <col min="1" max="1" width="7" style="1" customWidth="1"/>
    <col min="2" max="2" width="28.85546875" customWidth="1"/>
    <col min="3" max="3" width="25.140625" style="1" bestFit="1" customWidth="1"/>
    <col min="4" max="4" width="24.140625" style="1" customWidth="1"/>
    <col min="5" max="5" width="17.85546875" style="1" bestFit="1" customWidth="1"/>
    <col min="6" max="6" width="9.140625" style="6"/>
    <col min="7" max="7" width="9.140625" style="7"/>
    <col min="8" max="8" width="9.140625" style="10"/>
    <col min="9" max="9" width="9.140625" style="6"/>
    <col min="10" max="10" width="9.140625" style="1"/>
    <col min="11" max="11" width="11.42578125" style="6" customWidth="1"/>
    <col min="12" max="12" width="34.7109375" style="1" hidden="1" customWidth="1"/>
    <col min="13" max="13" width="0" style="12" hidden="1" customWidth="1"/>
    <col min="14" max="14" width="0" style="1" hidden="1" customWidth="1"/>
    <col min="15" max="15" width="0" hidden="1" customWidth="1"/>
  </cols>
  <sheetData>
    <row r="1" spans="1:15" x14ac:dyDescent="0.25">
      <c r="G1" s="15" t="s">
        <v>10</v>
      </c>
      <c r="H1" s="15"/>
      <c r="M1" s="16" t="s">
        <v>17</v>
      </c>
      <c r="N1" s="16"/>
    </row>
    <row r="2" spans="1:15" s="3" customFormat="1" ht="75.75" x14ac:dyDescent="0.25">
      <c r="A2" s="2" t="s">
        <v>0</v>
      </c>
      <c r="B2" s="3" t="s">
        <v>1</v>
      </c>
      <c r="C2" s="2" t="s">
        <v>5</v>
      </c>
      <c r="D2" s="2" t="s">
        <v>6</v>
      </c>
      <c r="E2" s="2" t="s">
        <v>7</v>
      </c>
      <c r="F2" s="5" t="s">
        <v>8</v>
      </c>
      <c r="G2" s="8" t="s">
        <v>11</v>
      </c>
      <c r="H2" s="9" t="s">
        <v>12</v>
      </c>
      <c r="I2" s="5" t="s">
        <v>13</v>
      </c>
      <c r="J2" s="2" t="s">
        <v>9</v>
      </c>
      <c r="K2" s="5" t="s">
        <v>14</v>
      </c>
      <c r="L2" s="2" t="s">
        <v>20</v>
      </c>
      <c r="M2" s="13" t="s">
        <v>11</v>
      </c>
      <c r="N2" s="2" t="s">
        <v>18</v>
      </c>
      <c r="O2" s="3" t="s">
        <v>19</v>
      </c>
    </row>
    <row r="3" spans="1:15" ht="29.25" customHeight="1" x14ac:dyDescent="0.25">
      <c r="A3" s="1">
        <v>1</v>
      </c>
      <c r="B3" t="s">
        <v>2</v>
      </c>
      <c r="C3" s="1" t="s">
        <v>24</v>
      </c>
      <c r="D3" s="17" t="s">
        <v>25</v>
      </c>
      <c r="E3" s="17" t="s">
        <v>26</v>
      </c>
      <c r="F3" s="6">
        <v>625</v>
      </c>
      <c r="G3" s="7">
        <v>0.23</v>
      </c>
      <c r="H3" s="11">
        <f t="shared" ref="H3:H5" si="0">F3*G3</f>
        <v>143.75</v>
      </c>
      <c r="I3" s="6">
        <f t="shared" ref="I3:I5" si="1">F3+H3</f>
        <v>768.75</v>
      </c>
      <c r="J3" s="1">
        <v>10</v>
      </c>
      <c r="K3" s="6">
        <f t="shared" ref="K3:K5" si="2">I3*J3</f>
        <v>7687.5</v>
      </c>
      <c r="L3" s="18" t="s">
        <v>27</v>
      </c>
      <c r="M3" s="12">
        <v>0.6</v>
      </c>
      <c r="N3" s="6">
        <f>K3*M3</f>
        <v>4612.5</v>
      </c>
      <c r="O3" s="4">
        <f t="shared" ref="O3:O6" si="3">K3+N3</f>
        <v>12300</v>
      </c>
    </row>
    <row r="4" spans="1:15" x14ac:dyDescent="0.25">
      <c r="A4" s="1">
        <v>2</v>
      </c>
      <c r="B4" t="s">
        <v>3</v>
      </c>
      <c r="C4" s="1" t="s">
        <v>29</v>
      </c>
      <c r="D4" s="1" t="s">
        <v>30</v>
      </c>
      <c r="E4" s="1" t="s">
        <v>28</v>
      </c>
      <c r="F4" s="6">
        <v>361.78</v>
      </c>
      <c r="G4" s="7">
        <v>0.23</v>
      </c>
      <c r="H4" s="11">
        <f t="shared" si="0"/>
        <v>83.209400000000002</v>
      </c>
      <c r="I4" s="6">
        <f t="shared" si="1"/>
        <v>444.98939999999999</v>
      </c>
      <c r="J4" s="1">
        <v>20</v>
      </c>
      <c r="K4" s="6">
        <f t="shared" si="2"/>
        <v>8899.7880000000005</v>
      </c>
      <c r="L4" s="18" t="s">
        <v>31</v>
      </c>
      <c r="M4" s="12">
        <v>0.45</v>
      </c>
      <c r="N4" s="6">
        <f t="shared" ref="N4:N5" si="4">K4*M4</f>
        <v>4004.9046000000003</v>
      </c>
      <c r="O4" s="4">
        <f t="shared" si="3"/>
        <v>12904.6926</v>
      </c>
    </row>
    <row r="5" spans="1:15" x14ac:dyDescent="0.25">
      <c r="A5" s="1">
        <v>3</v>
      </c>
      <c r="B5" t="s">
        <v>4</v>
      </c>
      <c r="C5" s="1" t="s">
        <v>33</v>
      </c>
      <c r="D5" s="1" t="s">
        <v>34</v>
      </c>
      <c r="E5" s="1" t="s">
        <v>35</v>
      </c>
      <c r="F5" s="6">
        <v>54.37</v>
      </c>
      <c r="G5" s="7">
        <v>0.23</v>
      </c>
      <c r="H5" s="11">
        <f t="shared" si="0"/>
        <v>12.505100000000001</v>
      </c>
      <c r="I5" s="6">
        <f t="shared" si="1"/>
        <v>66.875100000000003</v>
      </c>
      <c r="J5" s="1">
        <v>20</v>
      </c>
      <c r="K5" s="6">
        <f t="shared" si="2"/>
        <v>1337.502</v>
      </c>
      <c r="L5" s="18" t="s">
        <v>36</v>
      </c>
      <c r="M5" s="12">
        <v>0.6</v>
      </c>
      <c r="N5" s="6">
        <f t="shared" si="4"/>
        <v>802.50119999999993</v>
      </c>
      <c r="O5" s="4">
        <f t="shared" si="3"/>
        <v>2140.0032000000001</v>
      </c>
    </row>
    <row r="6" spans="1:15" x14ac:dyDescent="0.25">
      <c r="A6" s="1">
        <v>5</v>
      </c>
      <c r="B6" t="s">
        <v>15</v>
      </c>
      <c r="F6" s="6">
        <v>50</v>
      </c>
      <c r="G6" s="7">
        <v>0.13500000000000001</v>
      </c>
      <c r="H6" s="11">
        <f>F6*G6</f>
        <v>6.75</v>
      </c>
      <c r="I6" s="6">
        <f>F6+H6</f>
        <v>56.75</v>
      </c>
      <c r="J6" s="1">
        <f>2*8*2</f>
        <v>32</v>
      </c>
      <c r="K6" s="6">
        <f>I6*J6</f>
        <v>1816</v>
      </c>
      <c r="M6" s="12">
        <v>0.1</v>
      </c>
      <c r="N6" s="6">
        <f>K6*M6</f>
        <v>181.60000000000002</v>
      </c>
      <c r="O6" s="4">
        <f t="shared" si="3"/>
        <v>1997.6</v>
      </c>
    </row>
    <row r="7" spans="1:15" x14ac:dyDescent="0.25">
      <c r="A7" s="1">
        <v>6</v>
      </c>
      <c r="B7" t="s">
        <v>16</v>
      </c>
      <c r="F7" s="6">
        <v>110</v>
      </c>
      <c r="G7" s="7">
        <v>0.13500000000000001</v>
      </c>
      <c r="H7" s="11">
        <f>F7*G7</f>
        <v>14.850000000000001</v>
      </c>
      <c r="I7" s="6">
        <f>F7+H7</f>
        <v>124.85</v>
      </c>
      <c r="J7" s="1">
        <f>1*8</f>
        <v>8</v>
      </c>
      <c r="K7" s="6">
        <f>I7*J7</f>
        <v>998.8</v>
      </c>
      <c r="M7" s="12">
        <v>0.3</v>
      </c>
      <c r="N7" s="6">
        <f>K7*M7</f>
        <v>299.64</v>
      </c>
      <c r="O7" s="4">
        <f>K7+N7</f>
        <v>1298.44</v>
      </c>
    </row>
    <row r="9" spans="1:15" x14ac:dyDescent="0.25">
      <c r="B9" s="19" t="s">
        <v>32</v>
      </c>
      <c r="C9" s="20">
        <f>SUM(O3:O7)</f>
        <v>30640.735799999999</v>
      </c>
    </row>
    <row r="10" spans="1:15" x14ac:dyDescent="0.25">
      <c r="B10" s="14" t="s">
        <v>23</v>
      </c>
    </row>
    <row r="11" spans="1:15" x14ac:dyDescent="0.25">
      <c r="B11" s="14" t="s">
        <v>21</v>
      </c>
    </row>
    <row r="12" spans="1:15" x14ac:dyDescent="0.25">
      <c r="B12" s="14" t="s">
        <v>22</v>
      </c>
    </row>
  </sheetData>
  <mergeCells count="2">
    <mergeCell ref="G1:H1"/>
    <mergeCell ref="M1:N1"/>
  </mergeCells>
  <hyperlinks>
    <hyperlink ref="L3" r:id="rId1" xr:uid="{4DACE778-3E2C-4405-B493-EC903245F9EE}"/>
    <hyperlink ref="L4" r:id="rId2" xr:uid="{B8544199-17CA-4658-BE55-3A345236CFA4}"/>
    <hyperlink ref="L5" r:id="rId3" xr:uid="{760B945E-AC7F-455B-AAC6-84856381858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- Racks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Joseph Taaffe - STUDENT</cp:lastModifiedBy>
  <dcterms:created xsi:type="dcterms:W3CDTF">2025-11-05T10:53:03Z</dcterms:created>
  <dcterms:modified xsi:type="dcterms:W3CDTF">2026-02-02T18:27:41Z</dcterms:modified>
</cp:coreProperties>
</file>